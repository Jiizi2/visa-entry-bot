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@Jamaah\25 Februari 2026 Ramadhan 1447H\"/>
    </mc:Choice>
  </mc:AlternateContent>
  <xr:revisionPtr revIDLastSave="0" documentId="13_ncr:1_{D01A1C83-606E-49AB-A2B1-73F02AB34F6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25 Feb Garuda" sheetId="4" r:id="rId1"/>
  </sheets>
  <externalReferences>
    <externalReference r:id="rId2"/>
  </externalReferences>
  <definedNames>
    <definedName name="ASURANSI">'[1]List Provider Asuransi'!$G$2:$G$19</definedName>
    <definedName name="Gelar">'[1]List Provider Asuransi'!$H$2:$H$4</definedName>
    <definedName name="JenisIdentitas">'[1]List Provider Asuransi'!$E$2:$E$5</definedName>
    <definedName name="JenisPekerjaan">'[1]List Provider Asuransi'!$A$2:$A$9</definedName>
    <definedName name="JenisPendidikan">'[1]List Provider Asuransi'!$B$2:$B$11</definedName>
    <definedName name="_xlnm.Print_Area" localSheetId="0">'25 Feb Garuda'!$A$1:$K$28</definedName>
    <definedName name="Propinsi">[1]PropKab!$A$1:$AH$1</definedName>
    <definedName name="ProviderVisa">'[1]List Provider Asuransi'!$F$2:$F$346</definedName>
    <definedName name="StatusKewarganegaraan">'[1]List Provider Asuransi'!$D$2:$D$3</definedName>
    <definedName name="StatusPernikahan">'[1]List Provider Asuransi'!$C$2:$C$4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4" l="1"/>
  <c r="N13" i="4" s="1"/>
  <c r="N11" i="4" l="1"/>
  <c r="N14" i="4"/>
  <c r="N5" i="4"/>
  <c r="N19" i="4"/>
  <c r="N4" i="4"/>
  <c r="N12" i="4"/>
  <c r="N21" i="4"/>
  <c r="N16" i="4"/>
  <c r="N8" i="4"/>
  <c r="N7" i="4"/>
  <c r="N17" i="4"/>
  <c r="N20" i="4"/>
  <c r="N10" i="4"/>
  <c r="N23" i="4"/>
  <c r="N9" i="4"/>
  <c r="N6" i="4"/>
  <c r="N18" i="4"/>
  <c r="N15" i="4"/>
  <c r="N22" i="4"/>
</calcChain>
</file>

<file path=xl/sharedStrings.xml><?xml version="1.0" encoding="utf-8"?>
<sst xmlns="http://schemas.openxmlformats.org/spreadsheetml/2006/main" count="189" uniqueCount="90">
  <si>
    <t>NO</t>
  </si>
  <si>
    <t>PASSENGER NAME</t>
  </si>
  <si>
    <t>GENDER</t>
  </si>
  <si>
    <t>PLACE OF BIRTHD</t>
  </si>
  <si>
    <t>DATE OF BIRTHD</t>
  </si>
  <si>
    <t>NO. PASPORT</t>
  </si>
  <si>
    <t>ISSUING OFFICE</t>
  </si>
  <si>
    <t>DATE OF ISSUI</t>
  </si>
  <si>
    <t>DATE OF EXPIRY</t>
  </si>
  <si>
    <t>PENERBANGAN ADD-ON</t>
  </si>
  <si>
    <t>USIA</t>
  </si>
  <si>
    <t>MR</t>
  </si>
  <si>
    <t>MALE</t>
  </si>
  <si>
    <t>BDJ-CGK-JED-CGK-BDJ</t>
  </si>
  <si>
    <t>MRS</t>
  </si>
  <si>
    <t>FEMALE</t>
  </si>
  <si>
    <t>BANJARMASIN</t>
  </si>
  <si>
    <t>KETERANGAN</t>
  </si>
  <si>
    <t>TOTAL</t>
  </si>
  <si>
    <t>Tipe penumpang pada reservasi :</t>
  </si>
  <si>
    <t>1</t>
  </si>
  <si>
    <t>Dewasa</t>
  </si>
  <si>
    <t>Penumpang dengan usia diatas 12 tahun</t>
  </si>
  <si>
    <t>MR - MRS - MISS</t>
  </si>
  <si>
    <t>2</t>
  </si>
  <si>
    <t>Anak-Anak</t>
  </si>
  <si>
    <t>Penumpang dengan usia &gt; 2 tahun sampai usia 12 tahun</t>
  </si>
  <si>
    <t>MSTR - MISS</t>
  </si>
  <si>
    <t>3</t>
  </si>
  <si>
    <t>Bayi</t>
  </si>
  <si>
    <t xml:space="preserve">Kriteria bayi adalah usia &gt; 7 hari dan &lt; 24 bulan </t>
  </si>
  <si>
    <t>INFT</t>
  </si>
  <si>
    <t>ECO</t>
  </si>
  <si>
    <t>MISS</t>
  </si>
  <si>
    <t>PALANGKA RAYA</t>
  </si>
  <si>
    <t>KOTABARU</t>
  </si>
  <si>
    <t>JAKARTA</t>
  </si>
  <si>
    <t>MANIFEST GARUDA 20 PACK 25 FEBRUARI 2026 ROFIQ HIJRAH WISATA</t>
  </si>
  <si>
    <t>RONY HERSANDI ABDURACHMAN</t>
  </si>
  <si>
    <t>DESY MESALINA</t>
  </si>
  <si>
    <t>MUHAMMAD DARIAN HALIM</t>
  </si>
  <si>
    <t>KAMILA FITRIANI</t>
  </si>
  <si>
    <t>NUR FIQIH SAPUTRI</t>
  </si>
  <si>
    <t>FENDY RAKHMAT ARDIANSYAH</t>
  </si>
  <si>
    <t>HALIMAH ABDUL RAFIK HASIAN</t>
  </si>
  <si>
    <t>MAULANA MALIK</t>
  </si>
  <si>
    <t>ARIFIN ABAU GAFUR</t>
  </si>
  <si>
    <t>SITI HADIJAH</t>
  </si>
  <si>
    <t>PATHUL JANNAH IMAN</t>
  </si>
  <si>
    <t>ETTY YULIANA</t>
  </si>
  <si>
    <t>MUHAMMAD DAKRUN</t>
  </si>
  <si>
    <t>AHMAD ISRADI</t>
  </si>
  <si>
    <t>SUDARWATI LEGIRUN</t>
  </si>
  <si>
    <t>RATNA JELITA DATUK KIRAP</t>
  </si>
  <si>
    <t>M HAMDI M LIMA ASTROE</t>
  </si>
  <si>
    <t>NURHIDAYAH M ISHAK ASMAPA</t>
  </si>
  <si>
    <t>NORDAM VALENTINO</t>
  </si>
  <si>
    <t>X7601987</t>
  </si>
  <si>
    <t>X7602191</t>
  </si>
  <si>
    <t>X7602192</t>
  </si>
  <si>
    <t>X7602193</t>
  </si>
  <si>
    <t>E3668575</t>
  </si>
  <si>
    <t>X8489076</t>
  </si>
  <si>
    <t>X7028437</t>
  </si>
  <si>
    <t>E3668831</t>
  </si>
  <si>
    <t>E3668886</t>
  </si>
  <si>
    <t>E3668579</t>
  </si>
  <si>
    <t>X6179533</t>
  </si>
  <si>
    <t>X6179551</t>
  </si>
  <si>
    <t>E6360891</t>
  </si>
  <si>
    <t>X8490523</t>
  </si>
  <si>
    <t>C9876981</t>
  </si>
  <si>
    <t>X8489039</t>
  </si>
  <si>
    <t>C9877086</t>
  </si>
  <si>
    <t>X8489774</t>
  </si>
  <si>
    <t>X8489715</t>
  </si>
  <si>
    <t>X5422909</t>
  </si>
  <si>
    <t>PALANGKARAYA</t>
  </si>
  <si>
    <t>JAKARTA PUSAT</t>
  </si>
  <si>
    <t>RANTAU</t>
  </si>
  <si>
    <t>KALUMPANG</t>
  </si>
  <si>
    <t>AMUNTAI</t>
  </si>
  <si>
    <t>BREBES</t>
  </si>
  <si>
    <t>BARABAI</t>
  </si>
  <si>
    <t>MANADO</t>
  </si>
  <si>
    <t>TANAH KAMPUNG</t>
  </si>
  <si>
    <t>TANJUNG</t>
  </si>
  <si>
    <t>BANDUNG</t>
  </si>
  <si>
    <t>SAKDILLAH ABDUL MUIN</t>
  </si>
  <si>
    <t>PKY-CGK-JED-CGK-PKY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</si>
</sst>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dd/mm/yyyy;@"/>
    <numFmt numFmtId="166" formatCode="[$-421]dd\ mmmm\ yyyy;@"/>
    <numFmt numFmtId="167" formatCode="dd\ mmm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6"/>
      <name val="Calibri Light"/>
      <family val="1"/>
      <scheme val="major"/>
    </font>
    <font>
      <sz val="11"/>
      <name val="Calibri Light"/>
      <family val="1"/>
      <scheme val="major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sz val="10"/>
      <color rgb="FF000000"/>
      <name val="Calibri"/>
      <family val="2"/>
      <scheme val="minor"/>
    </font>
    <font>
      <sz val="12"/>
      <name val="Calibri Light"/>
      <family val="1"/>
      <scheme val="maj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333FF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6"/>
      <name val="Calibri Light"/>
      <family val="1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name val="Calibri"/>
      <family val="2"/>
      <scheme val="minor"/>
    </font>
    <font>
      <b/>
      <sz val="12"/>
      <color rgb="FF3333FF"/>
      <name val="Calibri Light"/>
      <family val="2"/>
      <scheme val="major"/>
    </font>
    <font>
      <sz val="12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3333CC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8" fillId="0" borderId="0"/>
    <xf numFmtId="0" fontId="11" fillId="0" borderId="0"/>
  </cellStyleXfs>
  <cellXfs count="73">
    <xf numFmtId="0" fontId="0" fillId="0" borderId="0" xfId="0"/>
    <xf numFmtId="0" fontId="4" fillId="0" borderId="0" xfId="1" applyFont="1" applyAlignment="1">
      <alignment vertical="center"/>
    </xf>
    <xf numFmtId="0" fontId="5" fillId="0" borderId="0" xfId="2" applyFont="1"/>
    <xf numFmtId="0" fontId="7" fillId="0" borderId="0" xfId="2" applyFont="1" applyAlignment="1">
      <alignment vertical="center"/>
    </xf>
    <xf numFmtId="0" fontId="9" fillId="0" borderId="0" xfId="2" applyFont="1"/>
    <xf numFmtId="0" fontId="7" fillId="0" borderId="0" xfId="2" applyFont="1" applyAlignment="1">
      <alignment horizontal="center" vertical="center"/>
    </xf>
    <xf numFmtId="0" fontId="10" fillId="3" borderId="10" xfId="3" applyFont="1" applyFill="1" applyBorder="1" applyAlignment="1">
      <alignment horizontal="center"/>
    </xf>
    <xf numFmtId="0" fontId="9" fillId="0" borderId="12" xfId="1" applyFont="1" applyBorder="1" applyAlignment="1">
      <alignment horizontal="center" vertical="center"/>
    </xf>
    <xf numFmtId="0" fontId="9" fillId="0" borderId="12" xfId="2" applyFont="1" applyBorder="1"/>
    <xf numFmtId="0" fontId="9" fillId="0" borderId="12" xfId="2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6" fillId="2" borderId="10" xfId="2" applyFont="1" applyFill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14" xfId="2" applyFont="1" applyBorder="1" applyAlignment="1">
      <alignment horizontal="center"/>
    </xf>
    <xf numFmtId="0" fontId="7" fillId="3" borderId="10" xfId="2" applyFont="1" applyFill="1" applyBorder="1" applyAlignment="1">
      <alignment horizontal="center"/>
    </xf>
    <xf numFmtId="0" fontId="5" fillId="0" borderId="0" xfId="2" applyFont="1" applyAlignment="1">
      <alignment horizontal="center"/>
    </xf>
    <xf numFmtId="165" fontId="5" fillId="0" borderId="0" xfId="2" applyNumberFormat="1" applyFont="1" applyAlignment="1">
      <alignment horizontal="center"/>
    </xf>
    <xf numFmtId="166" fontId="11" fillId="0" borderId="0" xfId="4" applyNumberFormat="1" applyAlignment="1">
      <alignment horizontal="center" vertical="center"/>
    </xf>
    <xf numFmtId="0" fontId="12" fillId="0" borderId="0" xfId="4" applyFont="1" applyAlignment="1">
      <alignment vertical="center"/>
    </xf>
    <xf numFmtId="166" fontId="13" fillId="0" borderId="0" xfId="4" quotePrefix="1" applyNumberFormat="1" applyFont="1" applyAlignment="1">
      <alignment horizontal="center" vertical="center"/>
    </xf>
    <xf numFmtId="0" fontId="13" fillId="0" borderId="0" xfId="4" applyFont="1" applyAlignment="1">
      <alignment vertical="center"/>
    </xf>
    <xf numFmtId="0" fontId="11" fillId="0" borderId="0" xfId="4" applyAlignment="1">
      <alignment vertical="center"/>
    </xf>
    <xf numFmtId="0" fontId="14" fillId="0" borderId="0" xfId="4" applyFont="1" applyAlignment="1">
      <alignment vertical="center"/>
    </xf>
    <xf numFmtId="0" fontId="11" fillId="0" borderId="0" xfId="4" applyAlignment="1">
      <alignment vertical="center" wrapText="1"/>
    </xf>
    <xf numFmtId="166" fontId="11" fillId="0" borderId="0" xfId="4" quotePrefix="1" applyNumberFormat="1" applyAlignment="1">
      <alignment horizontal="center" vertical="center"/>
    </xf>
    <xf numFmtId="0" fontId="17" fillId="3" borderId="9" xfId="2" applyFont="1" applyFill="1" applyBorder="1" applyAlignment="1">
      <alignment horizontal="left"/>
    </xf>
    <xf numFmtId="0" fontId="17" fillId="3" borderId="10" xfId="2" applyFont="1" applyFill="1" applyBorder="1" applyAlignment="1">
      <alignment horizontal="left" vertical="center" wrapText="1"/>
    </xf>
    <xf numFmtId="0" fontId="16" fillId="3" borderId="9" xfId="2" applyFont="1" applyFill="1" applyBorder="1" applyAlignment="1">
      <alignment horizontal="center"/>
    </xf>
    <xf numFmtId="0" fontId="17" fillId="3" borderId="10" xfId="2" applyFont="1" applyFill="1" applyBorder="1" applyAlignment="1">
      <alignment horizontal="left"/>
    </xf>
    <xf numFmtId="167" fontId="9" fillId="0" borderId="12" xfId="2" applyNumberFormat="1" applyFont="1" applyBorder="1" applyAlignment="1">
      <alignment horizontal="center"/>
    </xf>
    <xf numFmtId="167" fontId="9" fillId="0" borderId="0" xfId="2" applyNumberFormat="1" applyFont="1" applyAlignment="1">
      <alignment horizontal="center"/>
    </xf>
    <xf numFmtId="167" fontId="5" fillId="0" borderId="0" xfId="2" applyNumberFormat="1" applyFont="1" applyAlignment="1">
      <alignment horizontal="center"/>
    </xf>
    <xf numFmtId="0" fontId="17" fillId="0" borderId="10" xfId="2" applyFont="1" applyFill="1" applyBorder="1" applyAlignment="1">
      <alignment horizontal="left"/>
    </xf>
    <xf numFmtId="0" fontId="18" fillId="3" borderId="10" xfId="3" applyFont="1" applyFill="1" applyBorder="1" applyAlignment="1">
      <alignment horizontal="center"/>
    </xf>
    <xf numFmtId="0" fontId="19" fillId="3" borderId="9" xfId="2" applyFont="1" applyFill="1" applyBorder="1" applyAlignment="1">
      <alignment horizontal="center"/>
    </xf>
    <xf numFmtId="0" fontId="19" fillId="0" borderId="10" xfId="2" applyFont="1" applyFill="1" applyBorder="1" applyAlignment="1">
      <alignment horizontal="left"/>
    </xf>
    <xf numFmtId="0" fontId="19" fillId="3" borderId="10" xfId="2" applyFont="1" applyFill="1" applyBorder="1" applyAlignment="1">
      <alignment horizontal="left" vertical="center" wrapText="1"/>
    </xf>
    <xf numFmtId="0" fontId="17" fillId="3" borderId="9" xfId="1" applyFont="1" applyFill="1" applyBorder="1" applyAlignment="1">
      <alignment horizontal="center" vertical="center"/>
    </xf>
    <xf numFmtId="0" fontId="17" fillId="0" borderId="9" xfId="2" applyFont="1" applyFill="1" applyBorder="1" applyAlignment="1">
      <alignment horizontal="left"/>
    </xf>
    <xf numFmtId="0" fontId="17" fillId="3" borderId="10" xfId="1" applyFont="1" applyFill="1" applyBorder="1" applyAlignment="1">
      <alignment horizontal="center" vertical="center"/>
    </xf>
    <xf numFmtId="14" fontId="20" fillId="0" borderId="10" xfId="0" applyNumberFormat="1" applyFont="1" applyFill="1" applyBorder="1" applyAlignment="1">
      <alignment horizontal="center" vertical="center"/>
    </xf>
    <xf numFmtId="14" fontId="17" fillId="0" borderId="10" xfId="0" applyNumberFormat="1" applyFont="1" applyFill="1" applyBorder="1" applyAlignment="1">
      <alignment horizontal="center" vertical="center"/>
    </xf>
    <xf numFmtId="14" fontId="17" fillId="0" borderId="10" xfId="0" applyNumberFormat="1" applyFont="1" applyFill="1" applyBorder="1" applyAlignment="1">
      <alignment horizontal="center"/>
    </xf>
    <xf numFmtId="14" fontId="20" fillId="0" borderId="10" xfId="0" applyNumberFormat="1" applyFont="1" applyFill="1" applyBorder="1" applyAlignment="1">
      <alignment horizontal="center"/>
    </xf>
    <xf numFmtId="14" fontId="20" fillId="0" borderId="0" xfId="0" applyNumberFormat="1" applyFont="1" applyFill="1" applyBorder="1" applyAlignment="1">
      <alignment horizontal="center" vertical="center"/>
    </xf>
    <xf numFmtId="14" fontId="17" fillId="0" borderId="0" xfId="0" applyNumberFormat="1" applyFont="1" applyFill="1" applyBorder="1" applyAlignment="1">
      <alignment horizontal="center" vertical="center"/>
    </xf>
    <xf numFmtId="167" fontId="7" fillId="0" borderId="10" xfId="2" applyNumberFormat="1" applyFont="1" applyBorder="1" applyAlignment="1">
      <alignment horizontal="center"/>
    </xf>
    <xf numFmtId="167" fontId="6" fillId="2" borderId="15" xfId="2" applyNumberFormat="1" applyFont="1" applyFill="1" applyBorder="1" applyAlignment="1">
      <alignment horizontal="center"/>
    </xf>
    <xf numFmtId="167" fontId="6" fillId="2" borderId="16" xfId="2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65" fontId="6" fillId="2" borderId="1" xfId="1" applyNumberFormat="1" applyFont="1" applyFill="1" applyBorder="1" applyAlignment="1">
      <alignment horizontal="center" vertical="center" wrapText="1"/>
    </xf>
    <xf numFmtId="165" fontId="6" fillId="2" borderId="5" xfId="1" applyNumberFormat="1" applyFont="1" applyFill="1" applyBorder="1" applyAlignment="1">
      <alignment horizontal="center" vertical="center" wrapText="1"/>
    </xf>
    <xf numFmtId="14" fontId="2" fillId="2" borderId="4" xfId="3" applyNumberFormat="1" applyFont="1" applyFill="1" applyBorder="1" applyAlignment="1">
      <alignment horizontal="center" vertical="center"/>
    </xf>
    <xf numFmtId="14" fontId="2" fillId="2" borderId="8" xfId="3" applyNumberFormat="1" applyFont="1" applyFill="1" applyBorder="1" applyAlignment="1">
      <alignment horizontal="center" vertical="center"/>
    </xf>
    <xf numFmtId="167" fontId="6" fillId="2" borderId="10" xfId="2" applyNumberFormat="1" applyFont="1" applyFill="1" applyBorder="1" applyAlignment="1">
      <alignment horizontal="center" vertical="center"/>
    </xf>
    <xf numFmtId="167" fontId="7" fillId="3" borderId="10" xfId="2" applyNumberFormat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 applyAlignment="1">
      <alignment horizontal="center" vertical="center" wrapText="1"/>
    </xf>
    <xf numFmtId="167" fontId="6" fillId="2" borderId="5" xfId="1" applyNumberFormat="1" applyFont="1" applyFill="1" applyBorder="1" applyAlignment="1">
      <alignment horizontal="center" vertical="center" wrapText="1"/>
    </xf>
    <xf numFmtId="14" fontId="17" fillId="0" borderId="11" xfId="0" applyNumberFormat="1" applyFont="1" applyFill="1" applyBorder="1" applyAlignment="1">
      <alignment horizontal="center" vertical="center"/>
    </xf>
    <xf numFmtId="0" fontId="18" fillId="3" borderId="11" xfId="3" applyFont="1" applyFill="1" applyBorder="1" applyAlignment="1">
      <alignment horizontal="center"/>
    </xf>
    <xf numFmtId="0" fontId="17" fillId="0" borderId="10" xfId="2" applyFont="1" applyFill="1" applyBorder="1" applyAlignment="1">
      <alignment horizontal="left" vertical="center"/>
    </xf>
    <xf numFmtId="0" fontId="17" fillId="0" borderId="10" xfId="2" applyFont="1" applyFill="1" applyBorder="1" applyAlignment="1">
      <alignment horizontal="center" vertical="center"/>
    </xf>
    <xf numFmtId="0" fontId="17" fillId="0" borderId="10" xfId="2" applyFont="1" applyFill="1" applyBorder="1" applyAlignment="1">
      <alignment horizontal="left" vertical="center" wrapText="1"/>
    </xf>
    <xf numFmtId="0" fontId="17" fillId="0" borderId="10" xfId="2" applyFont="1" applyFill="1" applyBorder="1" applyAlignment="1">
      <alignment horizontal="center" vertical="center" wrapText="1"/>
    </xf>
  </cellXfs>
  <cellStyles count="5">
    <cellStyle name="Normal" xfId="0" builtinId="0"/>
    <cellStyle name="Normal 10" xfId="2" xr:uid="{9ED307EC-7CAC-4F6A-A627-3517E6CBC0F8}"/>
    <cellStyle name="Normal 2" xfId="3" xr:uid="{FC17868D-86E0-4B0C-9846-E1A794E32F72}"/>
    <cellStyle name="Normal 2 2 2 2" xfId="1" xr:uid="{5B7D4E4B-A588-4BB7-B46A-F836BB9E611C}"/>
    <cellStyle name="Normal 9" xfId="4" xr:uid="{2680BB8F-DFFE-48E0-91D0-A3792CE8034D}"/>
  </cellStyles>
  <dxfs count="0"/>
  <tableStyles count="0" defaultTableStyle="TableStyleMedium2" defaultPivotStyle="PivotStyleLight16"/>
  <colors>
    <mruColors>
      <color rgb="FF3333FF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@Jamaah/12-30%20Juli%202025/Register%20Jamaah%20Umroh%203007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JROH"/>
      <sheetName val="Yiyin Kurdani"/>
      <sheetName val="Ali Said"/>
      <sheetName val="M Fathurrahim"/>
      <sheetName val="Abdul Basit"/>
      <sheetName val="Akhmad Syaifullah Noor"/>
      <sheetName val="Achmad Rafiq"/>
      <sheetName val="Ashadi Himawan"/>
      <sheetName val="Hesti Wijayanti"/>
      <sheetName val="Muhammad Thoha Al Alabi"/>
      <sheetName val="Salim Hamadi"/>
      <sheetName val="Rasyidi Ahmat Rahmat"/>
      <sheetName val="Syahril"/>
      <sheetName val="Arbainah"/>
      <sheetName val="Saipulrahman"/>
      <sheetName val="BAST"/>
      <sheetName val="PAKET DATA"/>
      <sheetName val="JAMAAH30JULI25"/>
      <sheetName val="Manifest Lion"/>
      <sheetName val="Siskopatuh Data Jamaah"/>
      <sheetName val="Sheet2"/>
      <sheetName val="Sheet1"/>
      <sheetName val="List Provider Asuransi"/>
      <sheetName val="PropKab"/>
      <sheetName val="Siskopatuh Tiket Jamaah"/>
      <sheetName val="Paket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>
        <row r="2">
          <cell r="A2" t="str">
            <v>PNS</v>
          </cell>
          <cell r="B2" t="str">
            <v>TIDAK SEKOLAH</v>
          </cell>
          <cell r="C2" t="str">
            <v>BELUM MENIKAH</v>
          </cell>
          <cell r="D2" t="str">
            <v>WNI</v>
          </cell>
          <cell r="E2" t="str">
            <v>NIK</v>
          </cell>
          <cell r="F2" t="str">
            <v>B2C</v>
          </cell>
          <cell r="G2" t="str">
            <v>AJS AMANAH JIWA GIRI ARTHA</v>
          </cell>
          <cell r="H2" t="str">
            <v>TUAN</v>
          </cell>
        </row>
        <row r="3">
          <cell r="A3" t="str">
            <v>PEG. SWASTA</v>
          </cell>
          <cell r="B3" t="str">
            <v>SD/MI</v>
          </cell>
          <cell r="C3" t="str">
            <v>MENIKAH</v>
          </cell>
          <cell r="D3" t="str">
            <v>WNA</v>
          </cell>
          <cell r="E3" t="str">
            <v>KITAS</v>
          </cell>
          <cell r="F3" t="str">
            <v>PT. AERO GLOBE INDONESIA</v>
          </cell>
          <cell r="G3" t="str">
            <v>ASURANSI ASKRIDA SYARIAH</v>
          </cell>
          <cell r="H3" t="str">
            <v>NONA</v>
          </cell>
        </row>
        <row r="4">
          <cell r="A4" t="str">
            <v>WIRAUSAHA</v>
          </cell>
          <cell r="B4" t="str">
            <v>SMP/MTS</v>
          </cell>
          <cell r="C4" t="str">
            <v>JANDA / DUDA</v>
          </cell>
          <cell r="E4" t="str">
            <v>KITAP</v>
          </cell>
          <cell r="F4" t="str">
            <v>PT. AFRAH DIYANI MANDIRI</v>
          </cell>
          <cell r="G4" t="str">
            <v>ASURANSI BRINS</v>
          </cell>
          <cell r="H4" t="str">
            <v>NYONYA</v>
          </cell>
        </row>
        <row r="5">
          <cell r="A5" t="str">
            <v>TNI / POLRI</v>
          </cell>
          <cell r="B5" t="str">
            <v>SMA/MA</v>
          </cell>
          <cell r="E5" t="str">
            <v>PASPOR</v>
          </cell>
          <cell r="F5" t="str">
            <v>PT. AIDA TOURINDO WISATA</v>
          </cell>
          <cell r="G5" t="str">
            <v>ASURANSI CENTRAL ASIA SYARIAH</v>
          </cell>
        </row>
        <row r="6">
          <cell r="A6" t="str">
            <v>PETANI</v>
          </cell>
          <cell r="B6" t="str">
            <v>D1</v>
          </cell>
          <cell r="F6" t="str">
            <v>PT. AIRMARK INDO WISATA/AIR MARINDO</v>
          </cell>
          <cell r="G6" t="str">
            <v>ASURANSI CHUBB SYARIAH</v>
          </cell>
        </row>
        <row r="7">
          <cell r="A7" t="str">
            <v>NELAYAN</v>
          </cell>
          <cell r="B7" t="str">
            <v>D2</v>
          </cell>
          <cell r="F7" t="str">
            <v>PT. AL AHRAM SARANA WISATA</v>
          </cell>
          <cell r="G7" t="str">
            <v>ASURANSI JIWA SYARIAH AL AMIN</v>
          </cell>
        </row>
        <row r="8">
          <cell r="A8" t="str">
            <v>LAINNYA</v>
          </cell>
          <cell r="B8" t="str">
            <v>D3</v>
          </cell>
          <cell r="F8" t="str">
            <v>PT. ALAMIN AHSAN TRAVEL</v>
          </cell>
          <cell r="G8" t="str">
            <v>ASURANSI MAXIMUS GRAHA PERSADA UNIT SYARIAH</v>
          </cell>
        </row>
        <row r="9">
          <cell r="A9" t="str">
            <v>TIDAK BEKERJA</v>
          </cell>
          <cell r="B9" t="str">
            <v>D4/S1</v>
          </cell>
          <cell r="F9" t="str">
            <v>PT. ALAMIN MIFTAH PRATAMA</v>
          </cell>
          <cell r="G9" t="str">
            <v>ASURANSI RELIANCE INDONESIA UNIT SYARIAH</v>
          </cell>
        </row>
        <row r="10">
          <cell r="B10" t="str">
            <v>S2</v>
          </cell>
          <cell r="F10" t="str">
            <v>PT. ALAMIR TOUR &amp; TRAVEL</v>
          </cell>
          <cell r="G10" t="str">
            <v>ASURANSI SINARMAS SYARIAH</v>
          </cell>
        </row>
        <row r="11">
          <cell r="B11" t="str">
            <v>S3</v>
          </cell>
          <cell r="F11" t="str">
            <v>PT. AL ANDALUS NUSANTARA TRAVEL</v>
          </cell>
          <cell r="G11" t="str">
            <v>ASURANSI SONWELIS TAKAFUL</v>
          </cell>
        </row>
        <row r="12">
          <cell r="F12" t="str">
            <v>PT. AL AQSHA JISRU DAKWAH</v>
          </cell>
          <cell r="G12" t="str">
            <v>ASURANSI TAKAFUL UMUM</v>
          </cell>
        </row>
        <row r="13">
          <cell r="F13" t="str">
            <v>PT. ALAZIZ TOUR &amp; TRAVEL</v>
          </cell>
          <cell r="G13" t="str">
            <v>ASURANSI TRI PAKARTA UNIT SYARIAH</v>
          </cell>
        </row>
        <row r="14">
          <cell r="F14" t="str">
            <v>PT. AL BAYT WISATA UNIVERSAL</v>
          </cell>
          <cell r="G14" t="str">
            <v>ASURANSI TUGU PRATAMA INDONESIA</v>
          </cell>
        </row>
        <row r="15">
          <cell r="F15" t="str">
            <v>PT. ALBILAD UNIVERSAL</v>
          </cell>
          <cell r="G15" t="str">
            <v>PAN PACIFIC SYARIAH INSURANCE</v>
          </cell>
        </row>
        <row r="16">
          <cell r="F16" t="str">
            <v>PT. ALBIS NUSA WISATA</v>
          </cell>
          <cell r="G16" t="str">
            <v>PT ASURANSI JASINDO SYARIAH</v>
          </cell>
        </row>
        <row r="17">
          <cell r="F17" t="str">
            <v>PT. ALFA KAZA MUSTIKA</v>
          </cell>
          <cell r="G17" t="str">
            <v>PT. ASURANSI UMUM MEGA UNIT SYARIAH</v>
          </cell>
        </row>
        <row r="18">
          <cell r="F18" t="str">
            <v>PT. ALFIDA TOUR &amp; TRAVEL</v>
          </cell>
          <cell r="G18" t="str">
            <v>SYARIAH BUMIDA</v>
          </cell>
        </row>
        <row r="19">
          <cell r="F19" t="str">
            <v>PT. ALFIR WISATA UTAMA</v>
          </cell>
          <cell r="G19" t="str">
            <v>ZURICH GENERAL TAKAFUL INDONESIA</v>
          </cell>
        </row>
        <row r="20">
          <cell r="F20" t="str">
            <v>PT. ALGAFF SENIOR MANDIRI</v>
          </cell>
        </row>
        <row r="21">
          <cell r="F21" t="str">
            <v>PT. ALHAMRA RIHLAH INDONESIA</v>
          </cell>
        </row>
        <row r="22">
          <cell r="F22" t="str">
            <v>PT. ALHIJAZ INDOWISATA</v>
          </cell>
        </row>
        <row r="23">
          <cell r="F23" t="str">
            <v>PT. ALIA INDAH WISATA</v>
          </cell>
        </row>
        <row r="24">
          <cell r="F24" t="str">
            <v>PT. ALINDRA MUTIARA HATI</v>
          </cell>
        </row>
        <row r="25">
          <cell r="F25" t="str">
            <v>PT. ALKHALID KUSUMA WARDANI</v>
          </cell>
        </row>
        <row r="26">
          <cell r="F26" t="str">
            <v>PT. ALKISAI BINA INSANI CITRA WISATA</v>
          </cell>
        </row>
        <row r="27">
          <cell r="F27" t="str">
            <v>PT. AL MADINAH MUTIARA SUNNAH</v>
          </cell>
        </row>
        <row r="28">
          <cell r="F28" t="str">
            <v>PT. ALMARHAMAH KARUNIA UTAMA</v>
          </cell>
        </row>
        <row r="29">
          <cell r="F29" t="str">
            <v>PT. AL MUCHTAR TOUR &amp; TRAVEL</v>
          </cell>
        </row>
        <row r="30">
          <cell r="F30" t="str">
            <v>PT. ALMUNA INDAH WISATA TOUR &amp; TRAVEL</v>
          </cell>
        </row>
        <row r="31">
          <cell r="F31" t="str">
            <v>PT. ALSEGGAF TRAVEL UMRAH</v>
          </cell>
        </row>
        <row r="32">
          <cell r="F32" t="str">
            <v>PT. AL-SHAFWAH WISATA MANDIRI</v>
          </cell>
        </row>
        <row r="33">
          <cell r="F33" t="str">
            <v>PT. ALSHA MUTIARA PERSADA</v>
          </cell>
        </row>
        <row r="34">
          <cell r="F34" t="str">
            <v>PT. AMANAH AINIE WISATA</v>
          </cell>
        </row>
        <row r="35">
          <cell r="F35" t="str">
            <v>PT. AMANAH INDAH WISATA</v>
          </cell>
        </row>
        <row r="36">
          <cell r="F36" t="str">
            <v>PT. AMANAH TRAVEL INDONESIA</v>
          </cell>
        </row>
        <row r="37">
          <cell r="F37" t="str">
            <v>PT. AMAR MADANI MASYHUR</v>
          </cell>
        </row>
        <row r="38">
          <cell r="F38" t="str">
            <v>PT. AMBASSADOR TOUR &amp; TRAVEL</v>
          </cell>
        </row>
        <row r="39">
          <cell r="F39" t="str">
            <v>PT. AMISYA MUBAROKAH DAULY</v>
          </cell>
        </row>
        <row r="40">
          <cell r="F40" t="str">
            <v>PT. AN CIPTA WISATA</v>
          </cell>
        </row>
        <row r="41">
          <cell r="F41" t="str">
            <v>PT. ANDALAS JAYA WISATA</v>
          </cell>
        </row>
        <row r="42">
          <cell r="F42" t="str">
            <v>PT. ANDROMEDA ATRIA WISATA</v>
          </cell>
        </row>
        <row r="43">
          <cell r="F43" t="str">
            <v>PT. ANITA SAUDARAKU WISATA</v>
          </cell>
        </row>
        <row r="44">
          <cell r="F44" t="str">
            <v>PT. AN NAMIROH TRAVELINDO</v>
          </cell>
        </row>
        <row r="45">
          <cell r="F45" t="str">
            <v>PT. ANNISA AHMADA TRAVELINDO</v>
          </cell>
        </row>
        <row r="46">
          <cell r="F46" t="str">
            <v>PT. AN NUR MAARIF</v>
          </cell>
        </row>
        <row r="47">
          <cell r="F47" t="str">
            <v>PT. ANNUR MAKNAH WISATA</v>
          </cell>
        </row>
        <row r="48">
          <cell r="F48" t="str">
            <v>PT. ANUGERAH CITRA MULIA</v>
          </cell>
        </row>
        <row r="49">
          <cell r="F49" t="str">
            <v>PT. ARAFAH FARHANA WISATA</v>
          </cell>
        </row>
        <row r="50">
          <cell r="F50" t="str">
            <v>PT. ARAFAH MULIA INSANI</v>
          </cell>
        </row>
        <row r="51">
          <cell r="F51" t="str">
            <v>PT. ARFA MUTIARA MULIA</v>
          </cell>
        </row>
        <row r="52">
          <cell r="F52" t="str">
            <v>PT. ARMINAREKA PERDANA</v>
          </cell>
        </row>
        <row r="53">
          <cell r="F53" t="str">
            <v>PT. ARMINDO JAYA TUR</v>
          </cell>
        </row>
        <row r="54">
          <cell r="F54" t="str">
            <v>PT. ARRAFSYAH SAFARI HARAMAIN</v>
          </cell>
        </row>
        <row r="55">
          <cell r="F55" t="str">
            <v>PT. ARRAHMAN BERKAH WISATA</v>
          </cell>
        </row>
        <row r="56">
          <cell r="F56" t="str">
            <v>PT. ARRAYYAN AL MUBARAK</v>
          </cell>
        </row>
        <row r="57">
          <cell r="F57" t="str">
            <v>PT. ARSYILA WAHYU TRAVEL</v>
          </cell>
        </row>
        <row r="58">
          <cell r="F58" t="str">
            <v>PT. ARTHA KARUNIA MULYA</v>
          </cell>
        </row>
        <row r="59">
          <cell r="F59" t="str">
            <v>PT. ARUDAM SEMBILAN SEMBILAN</v>
          </cell>
        </row>
        <row r="60">
          <cell r="F60" t="str">
            <v>PT. ASAMULIA EXPRESS</v>
          </cell>
        </row>
        <row r="61">
          <cell r="F61" t="str">
            <v>PT. ASANKALOKA RIAPINDO</v>
          </cell>
        </row>
        <row r="62">
          <cell r="F62" t="str">
            <v>PT. ASFOOR CIPTA MANDIRI</v>
          </cell>
        </row>
        <row r="63">
          <cell r="F63" t="str">
            <v>PT. ASHFA SHOWARAKUM HARAMAIN</v>
          </cell>
        </row>
        <row r="64">
          <cell r="F64" t="str">
            <v>PT. ASIA IMAN WISATA</v>
          </cell>
        </row>
        <row r="65">
          <cell r="F65" t="str">
            <v>PT. ASIA UTAMA WISATA</v>
          </cell>
        </row>
        <row r="66">
          <cell r="F66" t="str">
            <v>PT. ASTRI DUTA MANDIRI</v>
          </cell>
        </row>
        <row r="67">
          <cell r="F67" t="str">
            <v>PT. ASTRIFA INSAN MADANI</v>
          </cell>
        </row>
        <row r="68">
          <cell r="F68" t="str">
            <v>PT. ATHA BAITULLAH</v>
          </cell>
        </row>
        <row r="69">
          <cell r="F69" t="str">
            <v>PT. ATINA RAHMATAKA WISATA</v>
          </cell>
        </row>
        <row r="70">
          <cell r="F70" t="str">
            <v>PT. AT TAYIBAH</v>
          </cell>
        </row>
        <row r="71">
          <cell r="F71" t="str">
            <v>PT. AUFA DUTA WISATA TOUR &amp; TRAVEL</v>
          </cell>
        </row>
        <row r="72">
          <cell r="F72" t="str">
            <v>PT. AVNNA SEJAHTERA</v>
          </cell>
        </row>
        <row r="73">
          <cell r="F73" t="str">
            <v>PT. AYU AMANAH NUSANTARA</v>
          </cell>
        </row>
        <row r="74">
          <cell r="F74" t="str">
            <v>PT. AZKA MANDIRI INTERNASIONAL</v>
          </cell>
        </row>
        <row r="75">
          <cell r="F75" t="str">
            <v>PT. AZ-ZAHRA TOUR &amp; TRAVEL</v>
          </cell>
        </row>
        <row r="76">
          <cell r="F76" t="str">
            <v>PT. AZZAM ALBAESUNI</v>
          </cell>
        </row>
        <row r="77">
          <cell r="F77" t="str">
            <v>PT. BAB ALUMRAH TOUR TRAVEL</v>
          </cell>
        </row>
        <row r="78">
          <cell r="F78" t="str">
            <v>PT. BABUL UMRAH WISATA</v>
          </cell>
        </row>
        <row r="79">
          <cell r="F79" t="str">
            <v>PT. BAHANA SUKSES SEJAHTERA</v>
          </cell>
        </row>
        <row r="80">
          <cell r="F80" t="str">
            <v>PT. BAITUSSALAM MANDIRI</v>
          </cell>
        </row>
        <row r="81">
          <cell r="F81" t="str">
            <v>PT. BALUBAID IKHWAN</v>
          </cell>
        </row>
        <row r="82">
          <cell r="F82" t="str">
            <v>PT. BAROKAH SHOLAWAT ABADI</v>
          </cell>
        </row>
        <row r="83">
          <cell r="F83" t="str">
            <v>PT. BERKAH CAHAYA SAFAR</v>
          </cell>
        </row>
        <row r="84">
          <cell r="F84" t="str">
            <v>PT. BIOTA WISATA TOUR DAN TRAVEL</v>
          </cell>
        </row>
        <row r="85">
          <cell r="F85" t="str">
            <v>PT. BIRO PERJALANAN UMUM DAYAKINDO</v>
          </cell>
        </row>
        <row r="86">
          <cell r="F86" t="str">
            <v>PT. BIRO PERJALANAN WISATA APRILYA DARMA WISATA</v>
          </cell>
        </row>
        <row r="87">
          <cell r="F87" t="str">
            <v>PT. BIRO PERJALANAN WISATA KARYA ADITYA MANDIRI</v>
          </cell>
        </row>
        <row r="88">
          <cell r="F88" t="str">
            <v>PT. BIRO PERJALANAN WISATA MUHSININ</v>
          </cell>
        </row>
        <row r="89">
          <cell r="F89" t="str">
            <v>PT. BIRO PERJALANAN WISATA NEEKOI</v>
          </cell>
        </row>
        <row r="90">
          <cell r="F90" t="str">
            <v>PT. BIRO PERJALANAN WISATA PROCONFO</v>
          </cell>
        </row>
        <row r="91">
          <cell r="F91" t="str">
            <v>PT. BIRO PERJALANAN WISATA RAZEK</v>
          </cell>
        </row>
        <row r="92">
          <cell r="F92" t="str">
            <v>PT. BLOCKING TICKET CENTRE</v>
          </cell>
        </row>
        <row r="93">
          <cell r="F93" t="str">
            <v>PT. BOBINSA SURABAYA JAYA</v>
          </cell>
        </row>
        <row r="94">
          <cell r="F94" t="str">
            <v>PT. BUANA PAOTERE WISATA</v>
          </cell>
        </row>
        <row r="95">
          <cell r="F95" t="str">
            <v>PT. BUANA SENTOSA UTAMA</v>
          </cell>
        </row>
        <row r="96">
          <cell r="F96" t="str">
            <v>PT. BUMI NATA WISATA TOURS &amp; TRAVEL</v>
          </cell>
        </row>
        <row r="97">
          <cell r="F97" t="str">
            <v>PT. BUMI NATA WISATA TOURS&amp;TRAVEL</v>
          </cell>
        </row>
        <row r="98">
          <cell r="F98" t="str">
            <v>PT. CAHAYA ANUGRAH AL MAWADDAH</v>
          </cell>
        </row>
        <row r="99">
          <cell r="F99" t="str">
            <v>PT. CAHAYA KAABAH AL HARAMAIN</v>
          </cell>
        </row>
        <row r="100">
          <cell r="F100" t="str">
            <v>PT. CAHAYA MADINAH MANDIRI</v>
          </cell>
        </row>
        <row r="101">
          <cell r="F101" t="str">
            <v>PT. CAHAYA TIGA PESONA</v>
          </cell>
        </row>
        <row r="102">
          <cell r="F102" t="str">
            <v>PT. CAKRA MANDIRI UTAMA</v>
          </cell>
        </row>
        <row r="103">
          <cell r="F103" t="str">
            <v>PT. CENTRAL GLOBAL NETWORK</v>
          </cell>
        </row>
        <row r="104">
          <cell r="F104" t="str">
            <v>PT. CITRA CERIA USAHA KHALIFAH</v>
          </cell>
        </row>
        <row r="105">
          <cell r="F105" t="str">
            <v>PT. CITRA SAHABAT ASIA</v>
          </cell>
        </row>
        <row r="106">
          <cell r="F106" t="str">
            <v>PT. COMEUMROH WAHANA AMANAH</v>
          </cell>
        </row>
        <row r="107">
          <cell r="F107" t="str">
            <v>PT. DAEHATUR EXPRESS</v>
          </cell>
        </row>
        <row r="108">
          <cell r="F108" t="str">
            <v>PT. DARMAWISATA INDONESIA</v>
          </cell>
        </row>
        <row r="109">
          <cell r="F109" t="str">
            <v>PT. DARUL HAROMAIN</v>
          </cell>
        </row>
        <row r="110">
          <cell r="F110" t="str">
            <v>PT. DARUL HIKMAH MANDIRI</v>
          </cell>
        </row>
        <row r="111">
          <cell r="F111" t="str">
            <v>PT. DARUL MANASEK INTERNASIONAL</v>
          </cell>
        </row>
        <row r="112">
          <cell r="F112" t="str">
            <v>PT. DARUL UMROH ALHARAMAIN</v>
          </cell>
        </row>
        <row r="113">
          <cell r="F113" t="str">
            <v>PT. DAWOOD ANDALAN HARAMAIN</v>
          </cell>
        </row>
        <row r="114">
          <cell r="F114" t="str">
            <v>PT. DELTA LARAS WISATA</v>
          </cell>
        </row>
        <row r="115">
          <cell r="F115" t="str">
            <v>PT. DENA VISTAMA</v>
          </cell>
        </row>
        <row r="116">
          <cell r="F116" t="str">
            <v>PT. DEWISERASI INDAHWISATA</v>
          </cell>
        </row>
        <row r="117">
          <cell r="F117" t="str">
            <v>PT. DHIYAA EL HARAMAIN EL MUBARAKAH</v>
          </cell>
        </row>
        <row r="118">
          <cell r="F118" t="str">
            <v>PT. DHUYUFUR ROHMAN HAROMAIN</v>
          </cell>
        </row>
        <row r="119">
          <cell r="F119" t="str">
            <v>PT. DIAN ALMAAZ WISATA</v>
          </cell>
        </row>
        <row r="120">
          <cell r="F120" t="str">
            <v>PT. DIDI MABRUK BAYANAKA</v>
          </cell>
        </row>
        <row r="121">
          <cell r="F121" t="str">
            <v>PT. DIVA MABRURO</v>
          </cell>
        </row>
        <row r="122">
          <cell r="F122" t="str">
            <v>PT. DIYO SIBA</v>
          </cell>
        </row>
        <row r="123">
          <cell r="F123" t="str">
            <v>PT. DJAMILAH NURUL HIKMAH</v>
          </cell>
        </row>
        <row r="124">
          <cell r="F124" t="str">
            <v>PT. DREAM TOUR &amp; TRAVEL</v>
          </cell>
        </row>
        <row r="125">
          <cell r="F125" t="str">
            <v>PT. DUTA FARAS</v>
          </cell>
        </row>
        <row r="126">
          <cell r="F126" t="str">
            <v>PT. DUTA PUTRA DELIM</v>
          </cell>
        </row>
        <row r="127">
          <cell r="F127" t="str">
            <v>PT. DWI AMANAH LESTARI</v>
          </cell>
        </row>
        <row r="128">
          <cell r="F128" t="str">
            <v>PT. DWINS BERKAH UTAMA</v>
          </cell>
        </row>
        <row r="129">
          <cell r="F129" t="str">
            <v>PT. EBAD ALRAHMAN WISATA</v>
          </cell>
        </row>
        <row r="130">
          <cell r="F130" t="str">
            <v>PT. EDIPENIN TRAVEL</v>
          </cell>
        </row>
        <row r="131">
          <cell r="F131" t="str">
            <v>PT. ELHADY GRUP INTERNASIONAL</v>
          </cell>
        </row>
        <row r="132">
          <cell r="F132" t="str">
            <v>PT. ELHAQQ TOUR RELIGI</v>
          </cell>
        </row>
        <row r="133">
          <cell r="F133" t="str">
            <v>PT. ELREY PURI MALAK</v>
          </cell>
        </row>
        <row r="134">
          <cell r="F134" t="str">
            <v>PT. ELTEYBA MEDINA FAUZANA</v>
          </cell>
        </row>
        <row r="135">
          <cell r="F135" t="str">
            <v>PT.ELTURA BERKAH SEHATI</v>
          </cell>
        </row>
        <row r="136">
          <cell r="F136" t="str">
            <v>PT. EMMA TOUR DAN TRAVEL</v>
          </cell>
        </row>
        <row r="137">
          <cell r="F137" t="str">
            <v>PT. FADHILAH AMANAH WISATA</v>
          </cell>
        </row>
        <row r="138">
          <cell r="F138" t="str">
            <v>PT. FAHIRA ARAFAH UTAMA</v>
          </cell>
        </row>
        <row r="139">
          <cell r="F139" t="str">
            <v>PT. FAHMY GLOBAL MANDIRI</v>
          </cell>
        </row>
        <row r="140">
          <cell r="F140" t="str">
            <v>PT. FAJAR BERKAH ILAHI</v>
          </cell>
        </row>
        <row r="141">
          <cell r="F141" t="str">
            <v>PT. FAJRUL IKHSAN WISATA</v>
          </cell>
        </row>
        <row r="142">
          <cell r="F142" t="str">
            <v>PT FAROQ SULAIMAN AL FATAH TOURS &amp; TRAVEL</v>
          </cell>
        </row>
        <row r="143">
          <cell r="F143" t="str">
            <v>PT. FATH INDAH TRAVEL SERVICES</v>
          </cell>
        </row>
        <row r="144">
          <cell r="F144" t="str">
            <v>PT. FAUZI MULIA BERSAMA</v>
          </cell>
        </row>
        <row r="145">
          <cell r="F145" t="str">
            <v>PT. FAZARY WISATA</v>
          </cell>
        </row>
        <row r="146">
          <cell r="F146" t="str">
            <v>PT. FINUSA KARYA WISATA</v>
          </cell>
        </row>
        <row r="147">
          <cell r="F147" t="str">
            <v>PT. FIO AMANAH PERDANA</v>
          </cell>
        </row>
        <row r="148">
          <cell r="F148" t="str">
            <v>PT. FIRDAUS MULIA ABADI</v>
          </cell>
        </row>
        <row r="149">
          <cell r="F149" t="str">
            <v>PT. FRESHNEL KREASINDO PERKASA</v>
          </cell>
        </row>
        <row r="150">
          <cell r="F150" t="str">
            <v>PT. FUTTUH MAKKAH ALWAHYU</v>
          </cell>
        </row>
        <row r="151">
          <cell r="F151" t="str">
            <v>PT. GADIKAH MANDIRI ISLAMI</v>
          </cell>
        </row>
        <row r="152">
          <cell r="F152" t="str">
            <v>PT. GAIDO AZZA DARUSSALAM INDONESIA</v>
          </cell>
        </row>
        <row r="153">
          <cell r="F153" t="str">
            <v>PT. GALATAMA</v>
          </cell>
        </row>
        <row r="154">
          <cell r="F154" t="str">
            <v>PT. GALUH MUTIARA WISATA</v>
          </cell>
        </row>
        <row r="155">
          <cell r="F155" t="str">
            <v>PT. GAMALAMA INDO PESONA</v>
          </cell>
        </row>
        <row r="156">
          <cell r="F156" t="str">
            <v>PT. GAMAL HIKMAH</v>
          </cell>
        </row>
        <row r="157">
          <cell r="F157" t="str">
            <v>PT. GARISLURUS LINTAS SEMESTA</v>
          </cell>
        </row>
        <row r="158">
          <cell r="F158" t="str">
            <v>PT. GEMILANG DUNIA WISATA</v>
          </cell>
        </row>
        <row r="159">
          <cell r="F159" t="str">
            <v>PT. GEMILANG MULTAZAM MITRA SAKTI</v>
          </cell>
        </row>
        <row r="160">
          <cell r="F160" t="str">
            <v>PT. GENENA FERDOWS INTERNATIONAL</v>
          </cell>
        </row>
        <row r="161">
          <cell r="F161" t="str">
            <v>PT. GESYA PRIMA BIRO PERJALANAN UMUM</v>
          </cell>
        </row>
        <row r="162">
          <cell r="F162" t="str">
            <v>PT. GETWAY TOUR AND TRAVEL</v>
          </cell>
        </row>
        <row r="163">
          <cell r="F163" t="str">
            <v>PT. GHANIYA ZILIA RAHMAN</v>
          </cell>
        </row>
        <row r="164">
          <cell r="F164" t="str">
            <v>PT. GLOBALINDO SUKSES MAKSIMA</v>
          </cell>
        </row>
        <row r="165">
          <cell r="F165" t="str">
            <v>PT. GLOBAL WISATA IDAMAN</v>
          </cell>
        </row>
        <row r="166">
          <cell r="F166" t="str">
            <v>PT. GOENAWAN ERAWISATA TOUR &amp; TRAVEL</v>
          </cell>
        </row>
        <row r="167">
          <cell r="F167" t="str">
            <v>PT GOLDY MULIA WISATA</v>
          </cell>
        </row>
        <row r="168">
          <cell r="F168" t="str">
            <v>PT. GRANADA WISATA</v>
          </cell>
        </row>
        <row r="169">
          <cell r="F169" t="str">
            <v>PT. GRAND DARUSSALAM</v>
          </cell>
        </row>
        <row r="170">
          <cell r="F170" t="str">
            <v>PT. HAJAR ASWAD MUBAROQ</v>
          </cell>
        </row>
        <row r="171">
          <cell r="F171" t="str">
            <v>PT. HAMSA MANDIRI INTERNATIONAL TOURS</v>
          </cell>
        </row>
        <row r="172">
          <cell r="F172" t="str">
            <v>PT. HANA ASIA WISATA</v>
          </cell>
        </row>
        <row r="173">
          <cell r="F173" t="str">
            <v>PT. HENIRA CITRA UTAMA</v>
          </cell>
        </row>
        <row r="174">
          <cell r="F174" t="str">
            <v>PT. HIKMAH JAYA WISATA</v>
          </cell>
        </row>
        <row r="175">
          <cell r="F175" t="str">
            <v>PT. HISAR GLOBAL INDONESIA</v>
          </cell>
        </row>
        <row r="176">
          <cell r="F176" t="str">
            <v>PT. IBS BUANA SEJAHTERA</v>
          </cell>
        </row>
        <row r="177">
          <cell r="F177" t="str">
            <v>PT. IMPRESSAS MEDIA WISATA</v>
          </cell>
        </row>
        <row r="178">
          <cell r="F178" t="str">
            <v>PT. INDO CITRA TAMASYA</v>
          </cell>
        </row>
        <row r="179">
          <cell r="F179" t="str">
            <v>PT. INDOJAVA MULIA WISATA</v>
          </cell>
        </row>
        <row r="180">
          <cell r="F180" t="str">
            <v>PT. INDONESIA CENDEKIA MANDIRI</v>
          </cell>
        </row>
        <row r="181">
          <cell r="F181" t="str">
            <v>PT. INDONESIA INTERNATIONAL BUSINESS</v>
          </cell>
        </row>
        <row r="182">
          <cell r="F182" t="str">
            <v>PT. INHIL ARJUNA WISATA</v>
          </cell>
        </row>
        <row r="183">
          <cell r="F183" t="str">
            <v>PT. INTAN SALSABILA</v>
          </cell>
        </row>
        <row r="184">
          <cell r="F184" t="str">
            <v>PT. INTI UMMUL QURO</v>
          </cell>
        </row>
        <row r="185">
          <cell r="F185" t="str">
            <v>PT. JANNAH FIRDAUS</v>
          </cell>
        </row>
        <row r="186">
          <cell r="F186" t="str">
            <v>PT. JASIYAH TRAVEL SERVICE</v>
          </cell>
        </row>
        <row r="187">
          <cell r="F187" t="str">
            <v>PT. JEJAK IMANI BERKAH BERSAMA</v>
          </cell>
        </row>
        <row r="188">
          <cell r="F188" t="str">
            <v>PT. KAFILAH MAGHFIRAH WISATA</v>
          </cell>
        </row>
        <row r="189">
          <cell r="F189" t="str">
            <v>PT. KAHA HOLIDAY INTERNATIONAL</v>
          </cell>
        </row>
        <row r="190">
          <cell r="F190" t="str">
            <v>PT. KAISA ROSSIE</v>
          </cell>
        </row>
        <row r="191">
          <cell r="F191" t="str">
            <v>PT. KALTRABU INDAH</v>
          </cell>
        </row>
        <row r="192">
          <cell r="F192" t="str">
            <v>PT. KAMILAH BERKAT GURU</v>
          </cell>
        </row>
        <row r="193">
          <cell r="F193" t="str">
            <v>PT. KANAYA WISATA JAYA</v>
          </cell>
        </row>
        <row r="194">
          <cell r="F194" t="str">
            <v>PT. KANOMAS ARCI WISATA</v>
          </cell>
        </row>
        <row r="195">
          <cell r="F195" t="str">
            <v>PT. KARSHINTA TUNGGAL WISATA</v>
          </cell>
        </row>
        <row r="196">
          <cell r="F196" t="str">
            <v>PT. KEMANG NUSANTARA TRAVEL</v>
          </cell>
        </row>
        <row r="197">
          <cell r="F197" t="str">
            <v>PT. KENCANA RAUDHAH JAYA</v>
          </cell>
        </row>
        <row r="198">
          <cell r="F198" t="str">
            <v>PT. KHARISSA PERMAI HOLIDAY</v>
          </cell>
        </row>
        <row r="199">
          <cell r="F199" t="str">
            <v>PT. KHAZZANAH AL-ANSHARY</v>
          </cell>
        </row>
        <row r="200">
          <cell r="F200" t="str">
            <v>PT. KIBLATAIN JAYA WISATA</v>
          </cell>
        </row>
        <row r="201">
          <cell r="F201" t="str">
            <v>PT. KOTA PIRING KENCANA</v>
          </cell>
        </row>
        <row r="202">
          <cell r="F202" t="str">
            <v>PT. LABBAIKA CIPTA IMANI</v>
          </cell>
        </row>
        <row r="203">
          <cell r="F203" t="str">
            <v>PT LABBAIKA QOLBU INTERNASIONAL</v>
          </cell>
        </row>
        <row r="204">
          <cell r="F204" t="str">
            <v>PT LAMAHU TOUR &amp; TRAVEL</v>
          </cell>
        </row>
        <row r="205">
          <cell r="F205" t="str">
            <v>PT. LAN TABUR UTAMA WISATA</v>
          </cell>
        </row>
        <row r="206">
          <cell r="F206" t="str">
            <v>PT. LINTAS ISKANDARIA</v>
          </cell>
        </row>
        <row r="207">
          <cell r="F207" t="str">
            <v>PT. MABRUR TOUR &amp; TRAVEL</v>
          </cell>
        </row>
        <row r="208">
          <cell r="F208" t="str">
            <v>PT. MADANI BINA BERSAMA</v>
          </cell>
        </row>
        <row r="209">
          <cell r="F209" t="str">
            <v>PT. MADANI PRABU JAYA</v>
          </cell>
        </row>
        <row r="210">
          <cell r="F210" t="str">
            <v>PT. MADINAH IMAN WISATA</v>
          </cell>
        </row>
        <row r="211">
          <cell r="F211" t="str">
            <v>PT. MADINA WISATA ABADI</v>
          </cell>
        </row>
        <row r="212">
          <cell r="F212" t="str">
            <v>PT. MAKADINAH RAMANI JAYA</v>
          </cell>
        </row>
        <row r="213">
          <cell r="F213" t="str">
            <v>PT. MAKARIM EL AKHLAK TOURINDO</v>
          </cell>
        </row>
        <row r="214">
          <cell r="F214" t="str">
            <v>PT. MAKASSAR MANDIRI WISATA</v>
          </cell>
        </row>
        <row r="215">
          <cell r="F215" t="str">
            <v>PT. MAKKAH MADINAH MANDIRI</v>
          </cell>
        </row>
        <row r="216">
          <cell r="F216" t="str">
            <v>PT. MAKTOUR</v>
          </cell>
        </row>
        <row r="217">
          <cell r="F217" t="str">
            <v>PT. MALIKA WISATA UTAMA</v>
          </cell>
        </row>
        <row r="218">
          <cell r="F218" t="str">
            <v>PT. MALINDO MEKKAH MADINAH</v>
          </cell>
        </row>
        <row r="219">
          <cell r="F219" t="str">
            <v>PT. MANARA TABA INDONESIA</v>
          </cell>
        </row>
        <row r="220">
          <cell r="F220" t="str">
            <v>PT. MANASIK PRIMA</v>
          </cell>
        </row>
        <row r="221">
          <cell r="F221" t="str">
            <v>PT. MANAYA INDONESIA TOUR&amp;TRAVEL</v>
          </cell>
        </row>
        <row r="222">
          <cell r="F222" t="str">
            <v>PT. MARBA WISATA INDONESIA</v>
          </cell>
        </row>
        <row r="223">
          <cell r="F223" t="str">
            <v>PT. MARCO TOUR AND TRAVEL</v>
          </cell>
        </row>
        <row r="224">
          <cell r="F224" t="str">
            <v>PT. MARHABAN MAKKAH MADINAH</v>
          </cell>
        </row>
        <row r="225">
          <cell r="F225" t="str">
            <v>PT. MARMARA GLOBAL WISATA</v>
          </cell>
        </row>
        <row r="226">
          <cell r="F226" t="str">
            <v>PT. MARWAH SARI UTAMA</v>
          </cell>
        </row>
        <row r="227">
          <cell r="F227" t="str">
            <v>PT. MASINDO BUANA WISATA</v>
          </cell>
        </row>
        <row r="228">
          <cell r="F228" t="str">
            <v>PT. MASWAH BAKTI WISATA</v>
          </cell>
        </row>
        <row r="229">
          <cell r="F229" t="str">
            <v>PT. MASY'ARIL HARAM</v>
          </cell>
        </row>
        <row r="230">
          <cell r="F230" t="str">
            <v>PT. MATAHARI WISATA MAKASSAR</v>
          </cell>
        </row>
        <row r="231">
          <cell r="F231" t="str">
            <v>PT. MATIAS JAYA ABADI</v>
          </cell>
        </row>
        <row r="232">
          <cell r="F232" t="str">
            <v>PT. MAZIYA RIZKI ALAMI</v>
          </cell>
        </row>
        <row r="233">
          <cell r="F233" t="str">
            <v>PT. MECCA SUKSES INTERNASIONAL</v>
          </cell>
        </row>
        <row r="234">
          <cell r="F234" t="str">
            <v>PT. MEGACITRA INTINAMANDIRI</v>
          </cell>
        </row>
        <row r="235">
          <cell r="F235" t="str">
            <v>PT. MEGAH BERKAH WISATA</v>
          </cell>
        </row>
        <row r="236">
          <cell r="F236" t="str">
            <v>PT. MEIDA WISATA</v>
          </cell>
        </row>
        <row r="237">
          <cell r="F237" t="str">
            <v>PT. MEKAH TUR INDONESIA</v>
          </cell>
        </row>
        <row r="238">
          <cell r="F238" t="str">
            <v>PT. METEOR KENCANA WISATA</v>
          </cell>
        </row>
        <row r="239">
          <cell r="F239" t="str">
            <v>PT. MIDEAST EXPRESS</v>
          </cell>
        </row>
        <row r="240">
          <cell r="F240" t="str">
            <v>PT. MILARI RISALAH WISATA</v>
          </cell>
        </row>
        <row r="241">
          <cell r="F241" t="str">
            <v>PT. MINA DARUSSALAM MANDIRI TUR</v>
          </cell>
        </row>
        <row r="242">
          <cell r="F242" t="str">
            <v>PT. MINAMAS ANGKASA SAKTI</v>
          </cell>
        </row>
        <row r="243">
          <cell r="F243" t="str">
            <v>PT MINANG KHAWAS WISATA</v>
          </cell>
        </row>
        <row r="244">
          <cell r="F244" t="str">
            <v>PT. MS. AISHAH MANDIRI</v>
          </cell>
        </row>
        <row r="245">
          <cell r="F245" t="str">
            <v>PT. MUKHTARA INDONESIA WISATA</v>
          </cell>
        </row>
        <row r="246">
          <cell r="F246" t="str">
            <v>PT. MULIA RAHAYU MITRA</v>
          </cell>
        </row>
        <row r="247">
          <cell r="F247" t="str">
            <v>PT. MULTAZAM WISATA</v>
          </cell>
        </row>
        <row r="248">
          <cell r="F248" t="str">
            <v>PT. MUNA BINA INSANI</v>
          </cell>
        </row>
        <row r="249">
          <cell r="F249" t="str">
            <v>PT. MUSAFIR LINTAS SAHARA</v>
          </cell>
        </row>
        <row r="250">
          <cell r="F250" t="str">
            <v>PT. MUSTIKA KARTIKA SAMUDERA</v>
          </cell>
        </row>
        <row r="251">
          <cell r="F251" t="str">
            <v>PT. MUTIARA SUNNAH MANDIRI</v>
          </cell>
        </row>
        <row r="252">
          <cell r="F252" t="str">
            <v>PT. NABILA SURABAYA PERDANA</v>
          </cell>
        </row>
        <row r="253">
          <cell r="F253" t="str">
            <v>PT. NAMIRA</v>
          </cell>
        </row>
        <row r="254">
          <cell r="F254" t="str">
            <v>PT. NAUFA MUTIARA PERSADA</v>
          </cell>
        </row>
        <row r="255">
          <cell r="F255" t="str">
            <v>PT. NAZAR JAYA MANDIRI</v>
          </cell>
        </row>
        <row r="256">
          <cell r="F256" t="str">
            <v>PT. NEWCITY BERJAYA LESTARI</v>
          </cell>
        </row>
        <row r="257">
          <cell r="F257" t="str">
            <v>PT. NIPINDO ANTAR WISATA</v>
          </cell>
        </row>
        <row r="258">
          <cell r="F258" t="str">
            <v>PT. NISMA WISATA HAROMAIN</v>
          </cell>
        </row>
        <row r="259">
          <cell r="F259" t="str">
            <v>PT. NOOR ABIKA TOURS</v>
          </cell>
        </row>
        <row r="260">
          <cell r="F260" t="str">
            <v>PT. NOORUHA KIRANA INDONESIA</v>
          </cell>
        </row>
        <row r="261">
          <cell r="F261" t="str">
            <v>PT. NOVAVIL MUTIARA UTAMA</v>
          </cell>
        </row>
        <row r="262">
          <cell r="F262" t="str">
            <v>PT. NUANSA CERIA PESONA</v>
          </cell>
        </row>
        <row r="263">
          <cell r="F263" t="str">
            <v>PT. NUR AMANAH WISATA</v>
          </cell>
        </row>
        <row r="264">
          <cell r="F264" t="str">
            <v>PT. NURANI EL MISBAH TOUR &amp; TRAVEL</v>
          </cell>
        </row>
        <row r="265">
          <cell r="F265" t="str">
            <v>PT. NUR ASSYFA BERKAH</v>
          </cell>
        </row>
        <row r="266">
          <cell r="F266" t="str">
            <v>PT. NUR HARAMAIN MULIA</v>
          </cell>
        </row>
        <row r="267">
          <cell r="F267" t="str">
            <v>PT. NURINDO WISATA</v>
          </cell>
        </row>
        <row r="268">
          <cell r="F268" t="str">
            <v>PT. NURUL ZAHRA</v>
          </cell>
        </row>
        <row r="269">
          <cell r="F269" t="str">
            <v>PT. PANCA MITRA INTEGRITY</v>
          </cell>
        </row>
        <row r="270">
          <cell r="F270" t="str">
            <v>PT. PANGHEGAR PUTRA</v>
          </cell>
        </row>
        <row r="271">
          <cell r="F271" t="str">
            <v>PT. PANGUJI LUHUR UTAMA</v>
          </cell>
        </row>
        <row r="272">
          <cell r="F272" t="str">
            <v>PT. PANTRAVEL</v>
          </cell>
        </row>
        <row r="273">
          <cell r="F273" t="str">
            <v>PT. PATUNA MEKAR JAYA</v>
          </cell>
        </row>
        <row r="274">
          <cell r="F274" t="str">
            <v>PT. PENATA RIHLAH</v>
          </cell>
        </row>
        <row r="275">
          <cell r="F275" t="str">
            <v>PT. PENJURU WISATA NEGERI</v>
          </cell>
        </row>
        <row r="276">
          <cell r="F276" t="str">
            <v>PT. PERMATA KENCANA MULIA</v>
          </cell>
        </row>
        <row r="277">
          <cell r="F277" t="str">
            <v>PT. PESONA MOZAIK</v>
          </cell>
        </row>
        <row r="278">
          <cell r="F278" t="str">
            <v>PT. PESONA MUDA PRIMA TOURS</v>
          </cell>
        </row>
        <row r="279">
          <cell r="F279" t="str">
            <v>PT. PRABA ARTA BUANA UTAMA/PRABA</v>
          </cell>
        </row>
        <row r="280">
          <cell r="F280" t="str">
            <v>PT. PRAYOGI LINTAS PERSADA</v>
          </cell>
        </row>
        <row r="281">
          <cell r="F281" t="str">
            <v>PT. PRIMA ASTUTI SEJAHTERA</v>
          </cell>
        </row>
        <row r="282">
          <cell r="F282" t="str">
            <v>PT. PRIMA TOUR &amp; TRAVEL</v>
          </cell>
        </row>
        <row r="283">
          <cell r="F283" t="str">
            <v>PT. PRIMA UNGGUL GLOBAL</v>
          </cell>
        </row>
        <row r="284">
          <cell r="F284" t="str">
            <v>PT. PUNAMA MULIA WISATA</v>
          </cell>
        </row>
        <row r="285">
          <cell r="F285" t="str">
            <v>PT. QORYATUL HAYYAT</v>
          </cell>
        </row>
        <row r="286">
          <cell r="F286" t="str">
            <v>PT. RABBANI SEMESTA UTAMA</v>
          </cell>
        </row>
        <row r="287">
          <cell r="F287" t="str">
            <v>PT. RABIHA KARYA BERSAMA TOURS AND TRAVEL</v>
          </cell>
        </row>
        <row r="288">
          <cell r="F288" t="str">
            <v>PT. RADIAN KHARISMA WISATA</v>
          </cell>
        </row>
        <row r="289">
          <cell r="F289" t="str">
            <v>PT. RAFA LINTAS CAKRAWALA TOURS &amp; TRAVEL</v>
          </cell>
        </row>
        <row r="290">
          <cell r="F290" t="str">
            <v>PT. RAFFI INDO MAKMUR</v>
          </cell>
        </row>
        <row r="291">
          <cell r="F291" t="str">
            <v>PT. RAMADANI JAYA TOUR</v>
          </cell>
        </row>
        <row r="292">
          <cell r="F292" t="str">
            <v>PT. RANDI PRIMA WISATA</v>
          </cell>
        </row>
        <row r="293">
          <cell r="F293" t="str">
            <v>PT. RATNA AZIZAH MUSTIKA</v>
          </cell>
        </row>
        <row r="294">
          <cell r="F294" t="str">
            <v>PT. RATU HAMIDAH SAMPURNA BERSAUDARA</v>
          </cell>
        </row>
        <row r="295">
          <cell r="F295" t="str">
            <v>PT. RAUDAH AMANI WISATA</v>
          </cell>
        </row>
        <row r="296">
          <cell r="F296" t="str">
            <v>PT. RAUDHAH MULTAZAM INDONESIA</v>
          </cell>
        </row>
        <row r="297">
          <cell r="F297" t="str">
            <v>PT. RAWASINDO</v>
          </cell>
        </row>
        <row r="298">
          <cell r="F298" t="str">
            <v>PT. RAZAN GROUP INDONESIA</v>
          </cell>
        </row>
        <row r="299">
          <cell r="F299" t="str">
            <v>PT. REHABUL HARAMAIN SYARIFAIN</v>
          </cell>
        </row>
        <row r="300">
          <cell r="F300" t="str">
            <v>PT RENAZKIA REINDO WISATA</v>
          </cell>
        </row>
        <row r="301">
          <cell r="F301" t="str">
            <v>PT. RESI MANUNGGAL LESTARI</v>
          </cell>
        </row>
        <row r="302">
          <cell r="F302" t="str">
            <v>PT. RIAU WISATA HATI</v>
          </cell>
        </row>
        <row r="303">
          <cell r="F303" t="str">
            <v>PT. RIFLA WISATA UTAMA</v>
          </cell>
        </row>
        <row r="304">
          <cell r="F304" t="str">
            <v>PT. RIHLAH ALATAS WISATA</v>
          </cell>
        </row>
        <row r="305">
          <cell r="F305" t="str">
            <v>PT. RIHLAH ASSOFA AMANAH</v>
          </cell>
        </row>
        <row r="306">
          <cell r="F306" t="str">
            <v>PT. RIHLATUL HIDAYAH WISATA</v>
          </cell>
        </row>
        <row r="307">
          <cell r="F307" t="str">
            <v>PT. RISALAH MADINA TIARA</v>
          </cell>
        </row>
        <row r="308">
          <cell r="F308" t="str">
            <v>PT RIYADHULJANNAH TOUR &amp; TRAVEL</v>
          </cell>
        </row>
        <row r="309">
          <cell r="F309" t="str">
            <v>PT. RIZMA SABILUL HAROM</v>
          </cell>
        </row>
        <row r="310">
          <cell r="F310" t="str">
            <v>PT. RIZQUNA MEKKAH MADINAH</v>
          </cell>
        </row>
        <row r="311">
          <cell r="F311" t="str">
            <v>PT. SADEWA ANANDEA WISATA</v>
          </cell>
        </row>
        <row r="312">
          <cell r="F312" t="str">
            <v>PT. SAFA NISA RIZKY</v>
          </cell>
        </row>
        <row r="313">
          <cell r="F313" t="str">
            <v>PT. SAFARI HARISTY WISATA</v>
          </cell>
        </row>
        <row r="314">
          <cell r="F314" t="str">
            <v>PT. SAFINA ASSALAM TOUR</v>
          </cell>
        </row>
        <row r="315">
          <cell r="F315" t="str">
            <v>PT. SAFINA DANIA WISATA</v>
          </cell>
        </row>
        <row r="316">
          <cell r="F316" t="str">
            <v>PT. SAHABAT DUA ARAH</v>
          </cell>
        </row>
        <row r="317">
          <cell r="F317" t="str">
            <v>PT. SAHARA DZUMIRRA INTERNATIONAL</v>
          </cell>
        </row>
        <row r="318">
          <cell r="F318" t="str">
            <v>PT. SAKINAH TOUR &amp; TRAVEL</v>
          </cell>
        </row>
        <row r="319">
          <cell r="F319" t="str">
            <v>PT. SALWANA GLOBAL SARANA</v>
          </cell>
        </row>
        <row r="320">
          <cell r="F320" t="str">
            <v>PT. SAMAWA BERKAH WISATA</v>
          </cell>
        </row>
        <row r="321">
          <cell r="F321" t="str">
            <v>PT. SAUDI PATRIA WISATA</v>
          </cell>
        </row>
        <row r="322">
          <cell r="F322" t="str">
            <v>PT. SELARAS CINTANUSA WISATA</v>
          </cell>
        </row>
        <row r="323">
          <cell r="F323" t="str">
            <v>PT. SHAFIRA LINTAS SEMESTA</v>
          </cell>
        </row>
        <row r="324">
          <cell r="F324" t="str">
            <v>PT. SHAZA QOLBU IZMIR</v>
          </cell>
        </row>
        <row r="325">
          <cell r="F325" t="str">
            <v>PT. SIANOK INDAH HOLIDAY</v>
          </cell>
        </row>
        <row r="326">
          <cell r="F326" t="str">
            <v>PT. SIAR HARAMAIN INTERNATIONAL WISATA</v>
          </cell>
        </row>
        <row r="327">
          <cell r="F327" t="str">
            <v>PT. SILVER SILK TOUR &amp; TRAVEL</v>
          </cell>
        </row>
        <row r="328">
          <cell r="F328" t="str">
            <v>PT. SINDO WISATA</v>
          </cell>
        </row>
        <row r="329">
          <cell r="F329" t="str">
            <v>PT. SOLUSINDO JAYA PRATAMA GROUP</v>
          </cell>
        </row>
        <row r="330">
          <cell r="F330" t="str">
            <v>PT. SOLUTION INDONESIA</v>
          </cell>
        </row>
        <row r="331">
          <cell r="F331" t="str">
            <v>PT. SPIDEST INTERNASIONAL</v>
          </cell>
        </row>
        <row r="332">
          <cell r="F332" t="str">
            <v>PT. SRIKANDI NUANSA</v>
          </cell>
        </row>
        <row r="333">
          <cell r="F333" t="str">
            <v>PT. SRIWIJAYA MEGA WISATA</v>
          </cell>
        </row>
        <row r="334">
          <cell r="F334" t="str">
            <v>PT. STARINDO MITRADASA CIPTA</v>
          </cell>
        </row>
        <row r="335">
          <cell r="F335" t="str">
            <v>PT. SUKSES INTERNASIONAL TOUR &amp; TRAVEL</v>
          </cell>
        </row>
        <row r="336">
          <cell r="F336" t="str">
            <v>PT. SUTRA TOUR HIDAYAH</v>
          </cell>
        </row>
        <row r="337">
          <cell r="F337" t="str">
            <v>PT. SWADHARMA TRAVELINDO</v>
          </cell>
        </row>
        <row r="338">
          <cell r="F338" t="str">
            <v>PT. SYAKIRA ASFARINA</v>
          </cell>
        </row>
        <row r="339">
          <cell r="F339" t="str">
            <v>PT SYAMMAS ANGKASA WISATA</v>
          </cell>
        </row>
        <row r="340">
          <cell r="F340" t="str">
            <v>PT. TAJAK RAMADHAN</v>
          </cell>
        </row>
        <row r="341">
          <cell r="F341" t="str">
            <v>PT. TAMASYA INDAH TOUR &amp; TRAVEL</v>
          </cell>
        </row>
        <row r="342">
          <cell r="F342" t="str">
            <v>PT. TAMA WISATA INDONESIA</v>
          </cell>
        </row>
        <row r="343">
          <cell r="F343" t="str">
            <v>PT. TANUR MUTHMAINNAH TOUR</v>
          </cell>
        </row>
        <row r="344">
          <cell r="F344" t="str">
            <v>PT. TAQWA CAHAYA SEMESTA</v>
          </cell>
        </row>
        <row r="345">
          <cell r="F345" t="str">
            <v>PT. TASBIH AMANAH BERSAMA</v>
          </cell>
        </row>
        <row r="346">
          <cell r="F346" t="str">
            <v>PT. VENTURA SEMESTA WISATA</v>
          </cell>
        </row>
      </sheetData>
      <sheetData sheetId="23">
        <row r="1">
          <cell r="A1" t="str">
            <v>ACEH</v>
          </cell>
          <cell r="B1" t="str">
            <v>B A L I</v>
          </cell>
          <cell r="C1" t="str">
            <v>BANGKA BELITUNG</v>
          </cell>
          <cell r="D1" t="str">
            <v>BANTEN</v>
          </cell>
          <cell r="E1" t="str">
            <v>BENGKULU</v>
          </cell>
          <cell r="F1" t="str">
            <v>D.I. YOGYAKARTA</v>
          </cell>
          <cell r="G1" t="str">
            <v>DKI JAKARTA</v>
          </cell>
          <cell r="H1" t="str">
            <v>GORONTALO</v>
          </cell>
          <cell r="I1" t="str">
            <v>J A M B I</v>
          </cell>
          <cell r="J1" t="str">
            <v>JAWA BARAT</v>
          </cell>
          <cell r="K1" t="str">
            <v>JAWA TENGAH</v>
          </cell>
          <cell r="L1" t="str">
            <v>JAWA TIMUR</v>
          </cell>
          <cell r="M1" t="str">
            <v>KALIMANTAN BARAT</v>
          </cell>
          <cell r="N1" t="str">
            <v>KALIMANTAN SELATAN</v>
          </cell>
          <cell r="O1" t="str">
            <v>KALIMANTAN TENGAH</v>
          </cell>
          <cell r="P1" t="str">
            <v>KALIMANTAN TIMUR</v>
          </cell>
          <cell r="Q1" t="str">
            <v>KALIMANTAN UTARA</v>
          </cell>
          <cell r="R1" t="str">
            <v>KEPULAUAN RIAU</v>
          </cell>
          <cell r="S1" t="str">
            <v>LAMPUNG</v>
          </cell>
          <cell r="T1" t="str">
            <v>MALUKU</v>
          </cell>
          <cell r="U1" t="str">
            <v>MALUKU UTARA</v>
          </cell>
          <cell r="V1" t="str">
            <v>NUSA TENGGARA BARAT</v>
          </cell>
          <cell r="W1" t="str">
            <v>NUSA TENGGARA TIMUR</v>
          </cell>
          <cell r="X1" t="str">
            <v>PAPUA</v>
          </cell>
          <cell r="Y1" t="str">
            <v>PAPUA BARAT</v>
          </cell>
          <cell r="Z1" t="str">
            <v>R I A U</v>
          </cell>
          <cell r="AA1" t="str">
            <v>SULAWESI BARAT</v>
          </cell>
          <cell r="AB1" t="str">
            <v>SULAWESI SELATAN</v>
          </cell>
          <cell r="AC1" t="str">
            <v>SULAWESI TENGAH</v>
          </cell>
          <cell r="AD1" t="str">
            <v>SULAWESI TENGGARA</v>
          </cell>
          <cell r="AE1" t="str">
            <v>SULAWESI UTARA</v>
          </cell>
          <cell r="AF1" t="str">
            <v>SUMATERA BARAT</v>
          </cell>
          <cell r="AG1" t="str">
            <v>SUMATERA SELATAN</v>
          </cell>
          <cell r="AH1" t="str">
            <v>SUMATERA UTARA</v>
          </cell>
        </row>
      </sheetData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6FD6-838C-45E6-9772-7A27B3F9B3AD}">
  <sheetPr>
    <tabColor rgb="FF3333CC"/>
    <pageSetUpPr fitToPage="1"/>
  </sheetPr>
  <dimension ref="A1:N49"/>
  <sheetViews>
    <sheetView showGridLines="0" tabSelected="1" zoomScale="85" zoomScaleNormal="85" zoomScalePageLayoutView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26" sqref="G26"/>
    </sheetView>
  </sheetViews>
  <sheetFormatPr defaultColWidth="9" defaultRowHeight="15" x14ac:dyDescent="0.25"/>
  <cols>
    <col min="1" max="1" width="5" style="2" customWidth="1"/>
    <col min="2" max="2" width="7.7109375" style="2" bestFit="1" customWidth="1"/>
    <col min="3" max="3" width="36.5703125" style="2" customWidth="1"/>
    <col min="4" max="4" width="11.28515625" style="15" bestFit="1" customWidth="1"/>
    <col min="5" max="5" width="20.140625" style="15" customWidth="1"/>
    <col min="6" max="6" width="19.28515625" style="31" bestFit="1" customWidth="1"/>
    <col min="7" max="7" width="13.7109375" style="15" customWidth="1"/>
    <col min="8" max="8" width="20.42578125" style="15" bestFit="1" customWidth="1"/>
    <col min="9" max="9" width="16.7109375" style="31" bestFit="1" customWidth="1"/>
    <col min="10" max="10" width="16.85546875" style="31" customWidth="1"/>
    <col min="11" max="11" width="30.7109375" style="16" customWidth="1"/>
    <col min="12" max="13" width="9" style="2"/>
    <col min="14" max="14" width="11.5703125" style="2" bestFit="1" customWidth="1"/>
    <col min="15" max="19" width="9" style="2"/>
    <col min="20" max="20" width="15.42578125" style="2" bestFit="1" customWidth="1"/>
    <col min="21" max="16384" width="9" style="2"/>
  </cols>
  <sheetData>
    <row r="1" spans="1:14" ht="44.25" customHeight="1" thickBot="1" x14ac:dyDescent="0.3">
      <c r="A1" s="57" t="s">
        <v>37</v>
      </c>
      <c r="B1" s="57"/>
      <c r="C1" s="57"/>
      <c r="D1" s="57"/>
      <c r="E1" s="57"/>
      <c r="F1" s="57"/>
      <c r="G1" s="57"/>
      <c r="H1" s="57"/>
      <c r="I1" s="58"/>
      <c r="J1" s="57"/>
      <c r="K1" s="57"/>
      <c r="L1" s="1"/>
    </row>
    <row r="2" spans="1:14" s="4" customFormat="1" ht="20.100000000000001" customHeight="1" x14ac:dyDescent="0.25">
      <c r="A2" s="49" t="s">
        <v>0</v>
      </c>
      <c r="B2" s="59" t="s">
        <v>1</v>
      </c>
      <c r="C2" s="60"/>
      <c r="D2" s="49" t="s">
        <v>2</v>
      </c>
      <c r="E2" s="63" t="s">
        <v>3</v>
      </c>
      <c r="F2" s="65" t="s">
        <v>4</v>
      </c>
      <c r="G2" s="63" t="s">
        <v>5</v>
      </c>
      <c r="H2" s="63" t="s">
        <v>6</v>
      </c>
      <c r="I2" s="65" t="s">
        <v>7</v>
      </c>
      <c r="J2" s="65" t="s">
        <v>8</v>
      </c>
      <c r="K2" s="49" t="s">
        <v>9</v>
      </c>
      <c r="L2" s="3"/>
      <c r="M2" s="51" t="s">
        <v>10</v>
      </c>
      <c r="N2" s="53">
        <f ca="1">TODAY()</f>
        <v>46055</v>
      </c>
    </row>
    <row r="3" spans="1:14" s="4" customFormat="1" ht="20.100000000000001" customHeight="1" thickBot="1" x14ac:dyDescent="0.3">
      <c r="A3" s="50"/>
      <c r="B3" s="61"/>
      <c r="C3" s="62"/>
      <c r="D3" s="50"/>
      <c r="E3" s="64"/>
      <c r="F3" s="66"/>
      <c r="G3" s="64"/>
      <c r="H3" s="64"/>
      <c r="I3" s="66"/>
      <c r="J3" s="66"/>
      <c r="K3" s="50"/>
      <c r="L3" s="5"/>
      <c r="M3" s="52"/>
      <c r="N3" s="54"/>
    </row>
    <row r="4" spans="1:14" s="4" customFormat="1" ht="15.95" customHeight="1" x14ac:dyDescent="0.25">
      <c r="A4" s="37"/>
      <c r="B4" s="25" t="s">
        <v>11</v>
      </c>
      <c r="C4" s="38" t="s">
        <v>51</v>
      </c>
      <c r="D4" s="38" t="s">
        <v>12</v>
      </c>
      <c r="E4" s="69" t="s">
        <v>35</v>
      </c>
      <c r="F4" s="44">
        <v>33971</v>
      </c>
      <c r="G4" s="70" t="s">
        <v>70</v>
      </c>
      <c r="H4" s="26" t="s">
        <v>16</v>
      </c>
      <c r="I4" s="45">
        <v>46044</v>
      </c>
      <c r="J4" s="67">
        <v>47870</v>
      </c>
      <c r="K4" s="27" t="s">
        <v>13</v>
      </c>
      <c r="L4" s="4" t="s">
        <v>32</v>
      </c>
      <c r="N4" s="68">
        <f ca="1">DATEDIF(F4,$N$2,"Y")</f>
        <v>33</v>
      </c>
    </row>
    <row r="5" spans="1:14" s="4" customFormat="1" ht="15.95" customHeight="1" x14ac:dyDescent="0.25">
      <c r="A5" s="37"/>
      <c r="B5" s="28" t="s">
        <v>14</v>
      </c>
      <c r="C5" s="32" t="s">
        <v>39</v>
      </c>
      <c r="D5" s="32" t="s">
        <v>15</v>
      </c>
      <c r="E5" s="69" t="s">
        <v>16</v>
      </c>
      <c r="F5" s="40">
        <v>27732</v>
      </c>
      <c r="G5" s="70" t="s">
        <v>58</v>
      </c>
      <c r="H5" s="26" t="s">
        <v>16</v>
      </c>
      <c r="I5" s="41">
        <v>45993</v>
      </c>
      <c r="J5" s="41">
        <v>47819</v>
      </c>
      <c r="K5" s="27" t="s">
        <v>13</v>
      </c>
      <c r="L5" s="4" t="s">
        <v>32</v>
      </c>
      <c r="N5" s="6">
        <f ca="1">DATEDIF(F5,$N$2,"Y")</f>
        <v>50</v>
      </c>
    </row>
    <row r="6" spans="1:14" s="4" customFormat="1" ht="15.95" customHeight="1" x14ac:dyDescent="0.25">
      <c r="A6" s="39"/>
      <c r="B6" s="28" t="s">
        <v>14</v>
      </c>
      <c r="C6" s="32" t="s">
        <v>49</v>
      </c>
      <c r="D6" s="32" t="s">
        <v>15</v>
      </c>
      <c r="E6" s="71" t="s">
        <v>16</v>
      </c>
      <c r="F6" s="43">
        <v>30891</v>
      </c>
      <c r="G6" s="72" t="s">
        <v>68</v>
      </c>
      <c r="H6" s="26" t="s">
        <v>16</v>
      </c>
      <c r="I6" s="42">
        <v>45834</v>
      </c>
      <c r="J6" s="42">
        <v>49486</v>
      </c>
      <c r="K6" s="27" t="s">
        <v>13</v>
      </c>
      <c r="L6" s="4" t="s">
        <v>32</v>
      </c>
      <c r="N6" s="6">
        <f ca="1">DATEDIF(F6,$N$2,"Y")</f>
        <v>41</v>
      </c>
    </row>
    <row r="7" spans="1:14" s="4" customFormat="1" ht="15.95" customHeight="1" x14ac:dyDescent="0.25">
      <c r="A7" s="37"/>
      <c r="B7" s="28" t="s">
        <v>11</v>
      </c>
      <c r="C7" s="32" t="s">
        <v>43</v>
      </c>
      <c r="D7" s="32" t="s">
        <v>12</v>
      </c>
      <c r="E7" s="69" t="s">
        <v>16</v>
      </c>
      <c r="F7" s="40">
        <v>32932</v>
      </c>
      <c r="G7" s="70" t="s">
        <v>62</v>
      </c>
      <c r="H7" s="26" t="s">
        <v>16</v>
      </c>
      <c r="I7" s="41">
        <v>46034</v>
      </c>
      <c r="J7" s="41">
        <v>47860</v>
      </c>
      <c r="K7" s="27" t="s">
        <v>13</v>
      </c>
      <c r="L7" s="4" t="s">
        <v>32</v>
      </c>
      <c r="N7" s="33">
        <f ca="1">DATEDIF(F7,$N$2,"Y")</f>
        <v>35</v>
      </c>
    </row>
    <row r="8" spans="1:14" s="4" customFormat="1" ht="15.95" customHeight="1" x14ac:dyDescent="0.25">
      <c r="A8" s="37"/>
      <c r="B8" s="28" t="s">
        <v>33</v>
      </c>
      <c r="C8" s="32" t="s">
        <v>41</v>
      </c>
      <c r="D8" s="32" t="s">
        <v>15</v>
      </c>
      <c r="E8" s="69" t="s">
        <v>16</v>
      </c>
      <c r="F8" s="40">
        <v>40078</v>
      </c>
      <c r="G8" s="70" t="s">
        <v>60</v>
      </c>
      <c r="H8" s="26" t="s">
        <v>16</v>
      </c>
      <c r="I8" s="41">
        <v>45993</v>
      </c>
      <c r="J8" s="41">
        <v>47819</v>
      </c>
      <c r="K8" s="27" t="s">
        <v>13</v>
      </c>
      <c r="L8" s="4" t="s">
        <v>32</v>
      </c>
      <c r="N8" s="6">
        <f ca="1">DATEDIF(F8,$N$2,"Y")</f>
        <v>16</v>
      </c>
    </row>
    <row r="9" spans="1:14" s="4" customFormat="1" ht="15.95" customHeight="1" x14ac:dyDescent="0.25">
      <c r="A9" s="39"/>
      <c r="B9" s="28" t="s">
        <v>11</v>
      </c>
      <c r="C9" s="32" t="s">
        <v>54</v>
      </c>
      <c r="D9" s="32" t="s">
        <v>12</v>
      </c>
      <c r="E9" s="71" t="s">
        <v>86</v>
      </c>
      <c r="F9" s="40">
        <v>19279</v>
      </c>
      <c r="G9" s="72" t="s">
        <v>74</v>
      </c>
      <c r="H9" s="26" t="s">
        <v>16</v>
      </c>
      <c r="I9" s="41">
        <v>46040</v>
      </c>
      <c r="J9" s="41">
        <v>47866</v>
      </c>
      <c r="K9" s="27" t="s">
        <v>13</v>
      </c>
      <c r="L9" s="4" t="s">
        <v>32</v>
      </c>
      <c r="N9" s="6">
        <f ca="1">DATEDIF(F9,$N$2,"Y")</f>
        <v>73</v>
      </c>
    </row>
    <row r="10" spans="1:14" s="4" customFormat="1" ht="15.95" customHeight="1" x14ac:dyDescent="0.25">
      <c r="A10" s="39"/>
      <c r="B10" s="28" t="s">
        <v>11</v>
      </c>
      <c r="C10" s="32" t="s">
        <v>50</v>
      </c>
      <c r="D10" s="32" t="s">
        <v>12</v>
      </c>
      <c r="E10" s="69" t="s">
        <v>82</v>
      </c>
      <c r="F10" s="40">
        <v>30477</v>
      </c>
      <c r="G10" s="70" t="s">
        <v>69</v>
      </c>
      <c r="H10" s="26" t="s">
        <v>78</v>
      </c>
      <c r="I10" s="41">
        <v>45376</v>
      </c>
      <c r="J10" s="41">
        <v>49028</v>
      </c>
      <c r="K10" s="27" t="s">
        <v>13</v>
      </c>
      <c r="L10" s="4" t="s">
        <v>32</v>
      </c>
      <c r="N10" s="6">
        <f ca="1">DATEDIF(F10,$N$2,"Y")</f>
        <v>42</v>
      </c>
    </row>
    <row r="11" spans="1:14" s="4" customFormat="1" ht="15.95" customHeight="1" x14ac:dyDescent="0.25">
      <c r="A11" s="37"/>
      <c r="B11" s="28" t="s">
        <v>11</v>
      </c>
      <c r="C11" s="32" t="s">
        <v>40</v>
      </c>
      <c r="D11" s="32" t="s">
        <v>12</v>
      </c>
      <c r="E11" s="71" t="s">
        <v>16</v>
      </c>
      <c r="F11" s="40">
        <v>37745</v>
      </c>
      <c r="G11" s="72" t="s">
        <v>59</v>
      </c>
      <c r="H11" s="26" t="s">
        <v>16</v>
      </c>
      <c r="I11" s="42">
        <v>45993</v>
      </c>
      <c r="J11" s="42">
        <v>47819</v>
      </c>
      <c r="K11" s="27" t="s">
        <v>13</v>
      </c>
      <c r="L11" s="4" t="s">
        <v>32</v>
      </c>
      <c r="N11" s="6">
        <f ca="1">DATEDIF(F11,$N$2,"Y")</f>
        <v>22</v>
      </c>
    </row>
    <row r="12" spans="1:14" s="4" customFormat="1" ht="15.95" customHeight="1" x14ac:dyDescent="0.25">
      <c r="A12" s="39"/>
      <c r="B12" s="28" t="s">
        <v>11</v>
      </c>
      <c r="C12" s="32" t="s">
        <v>56</v>
      </c>
      <c r="D12" s="32" t="s">
        <v>12</v>
      </c>
      <c r="E12" s="69" t="s">
        <v>36</v>
      </c>
      <c r="F12" s="40">
        <v>30721</v>
      </c>
      <c r="G12" s="70" t="s">
        <v>76</v>
      </c>
      <c r="H12" s="26" t="s">
        <v>16</v>
      </c>
      <c r="I12" s="41">
        <v>45705</v>
      </c>
      <c r="J12" s="41">
        <v>49357</v>
      </c>
      <c r="K12" s="27" t="s">
        <v>13</v>
      </c>
      <c r="L12" s="4" t="s">
        <v>32</v>
      </c>
      <c r="N12" s="6">
        <f ca="1">DATEDIF(F12,$N$2,"Y")</f>
        <v>41</v>
      </c>
    </row>
    <row r="13" spans="1:14" s="4" customFormat="1" ht="15.95" customHeight="1" x14ac:dyDescent="0.25">
      <c r="A13" s="39"/>
      <c r="B13" s="28" t="s">
        <v>14</v>
      </c>
      <c r="C13" s="32" t="s">
        <v>55</v>
      </c>
      <c r="D13" s="32" t="s">
        <v>15</v>
      </c>
      <c r="E13" s="71" t="s">
        <v>87</v>
      </c>
      <c r="F13" s="40">
        <v>23182</v>
      </c>
      <c r="G13" s="72" t="s">
        <v>75</v>
      </c>
      <c r="H13" s="26" t="s">
        <v>16</v>
      </c>
      <c r="I13" s="42">
        <v>46040</v>
      </c>
      <c r="J13" s="42">
        <v>47866</v>
      </c>
      <c r="K13" s="27" t="s">
        <v>13</v>
      </c>
      <c r="L13" s="4" t="s">
        <v>32</v>
      </c>
      <c r="N13" s="6">
        <f ca="1">DATEDIF(F13,$N$2,"Y")</f>
        <v>62</v>
      </c>
    </row>
    <row r="14" spans="1:14" s="4" customFormat="1" ht="15.95" customHeight="1" x14ac:dyDescent="0.25">
      <c r="A14" s="37"/>
      <c r="B14" s="28" t="s">
        <v>14</v>
      </c>
      <c r="C14" s="32" t="s">
        <v>48</v>
      </c>
      <c r="D14" s="32" t="s">
        <v>15</v>
      </c>
      <c r="E14" s="71" t="s">
        <v>16</v>
      </c>
      <c r="F14" s="40">
        <v>19781</v>
      </c>
      <c r="G14" s="72" t="s">
        <v>67</v>
      </c>
      <c r="H14" s="26" t="s">
        <v>16</v>
      </c>
      <c r="I14" s="41">
        <v>45834</v>
      </c>
      <c r="J14" s="41">
        <v>49486</v>
      </c>
      <c r="K14" s="27" t="s">
        <v>13</v>
      </c>
      <c r="L14" s="4" t="s">
        <v>32</v>
      </c>
      <c r="N14" s="6">
        <f ca="1">DATEDIF(F14,$N$2,"Y")</f>
        <v>71</v>
      </c>
    </row>
    <row r="15" spans="1:14" s="4" customFormat="1" ht="15.95" customHeight="1" x14ac:dyDescent="0.25">
      <c r="A15" s="39"/>
      <c r="B15" s="25" t="s">
        <v>14</v>
      </c>
      <c r="C15" s="38" t="s">
        <v>53</v>
      </c>
      <c r="D15" s="38" t="s">
        <v>15</v>
      </c>
      <c r="E15" s="69" t="s">
        <v>85</v>
      </c>
      <c r="F15" s="40">
        <v>25212</v>
      </c>
      <c r="G15" s="70" t="s">
        <v>73</v>
      </c>
      <c r="H15" s="26" t="s">
        <v>16</v>
      </c>
      <c r="I15" s="41">
        <v>44754</v>
      </c>
      <c r="J15" s="41">
        <v>46580</v>
      </c>
      <c r="K15" s="27" t="s">
        <v>13</v>
      </c>
      <c r="L15" s="4" t="s">
        <v>32</v>
      </c>
      <c r="N15" s="6">
        <f ca="1">DATEDIF(F15,$N$2,"Y")</f>
        <v>57</v>
      </c>
    </row>
    <row r="16" spans="1:14" s="4" customFormat="1" ht="15.95" customHeight="1" x14ac:dyDescent="0.25">
      <c r="A16" s="37"/>
      <c r="B16" s="25" t="s">
        <v>11</v>
      </c>
      <c r="C16" s="38" t="s">
        <v>38</v>
      </c>
      <c r="D16" s="38" t="s">
        <v>12</v>
      </c>
      <c r="E16" s="69" t="s">
        <v>79</v>
      </c>
      <c r="F16" s="40">
        <v>26961</v>
      </c>
      <c r="G16" s="70" t="s">
        <v>57</v>
      </c>
      <c r="H16" s="26" t="s">
        <v>16</v>
      </c>
      <c r="I16" s="41">
        <v>45993</v>
      </c>
      <c r="J16" s="41">
        <v>47819</v>
      </c>
      <c r="K16" s="27" t="s">
        <v>13</v>
      </c>
      <c r="L16" s="4" t="s">
        <v>32</v>
      </c>
      <c r="N16" s="6">
        <f ca="1">DATEDIF(F16,$N$2,"Y")</f>
        <v>52</v>
      </c>
    </row>
    <row r="17" spans="1:14" s="4" customFormat="1" ht="15.95" customHeight="1" x14ac:dyDescent="0.25">
      <c r="A17" s="39"/>
      <c r="B17" s="28" t="s">
        <v>11</v>
      </c>
      <c r="C17" s="32" t="s">
        <v>88</v>
      </c>
      <c r="D17" s="32" t="s">
        <v>12</v>
      </c>
      <c r="E17" s="69" t="s">
        <v>83</v>
      </c>
      <c r="F17" s="40">
        <v>25320</v>
      </c>
      <c r="G17" s="70" t="s">
        <v>71</v>
      </c>
      <c r="H17" s="26" t="s">
        <v>16</v>
      </c>
      <c r="I17" s="41">
        <v>44753</v>
      </c>
      <c r="J17" s="41">
        <v>46214</v>
      </c>
      <c r="K17" s="27" t="s">
        <v>13</v>
      </c>
      <c r="L17" s="4" t="s">
        <v>32</v>
      </c>
      <c r="N17" s="6">
        <f ca="1">DATEDIF(F17,$N$2,"Y")</f>
        <v>56</v>
      </c>
    </row>
    <row r="18" spans="1:14" s="4" customFormat="1" ht="15.95" customHeight="1" x14ac:dyDescent="0.25">
      <c r="A18" s="39"/>
      <c r="B18" s="28" t="s">
        <v>14</v>
      </c>
      <c r="C18" s="32" t="s">
        <v>52</v>
      </c>
      <c r="D18" s="32" t="s">
        <v>15</v>
      </c>
      <c r="E18" s="69" t="s">
        <v>84</v>
      </c>
      <c r="F18" s="40">
        <v>21389</v>
      </c>
      <c r="G18" s="70" t="s">
        <v>72</v>
      </c>
      <c r="H18" s="26" t="s">
        <v>16</v>
      </c>
      <c r="I18" s="41">
        <v>46034</v>
      </c>
      <c r="J18" s="41">
        <v>47860</v>
      </c>
      <c r="K18" s="27" t="s">
        <v>13</v>
      </c>
      <c r="L18" s="4" t="s">
        <v>32</v>
      </c>
      <c r="N18" s="6">
        <f ca="1">DATEDIF(F18,$N$2,"Y")</f>
        <v>67</v>
      </c>
    </row>
    <row r="19" spans="1:14" s="4" customFormat="1" ht="15.95" customHeight="1" x14ac:dyDescent="0.25">
      <c r="A19" s="39"/>
      <c r="B19" s="28" t="s">
        <v>11</v>
      </c>
      <c r="C19" s="35" t="s">
        <v>46</v>
      </c>
      <c r="D19" s="32" t="s">
        <v>12</v>
      </c>
      <c r="E19" s="71" t="s">
        <v>80</v>
      </c>
      <c r="F19" s="40">
        <v>22487</v>
      </c>
      <c r="G19" s="72" t="s">
        <v>65</v>
      </c>
      <c r="H19" s="36" t="s">
        <v>77</v>
      </c>
      <c r="I19" s="41">
        <v>45112</v>
      </c>
      <c r="J19" s="41">
        <v>48765</v>
      </c>
      <c r="K19" s="34" t="s">
        <v>89</v>
      </c>
      <c r="L19" s="4" t="s">
        <v>32</v>
      </c>
      <c r="N19" s="6">
        <f ca="1">DATEDIF(F19,$N$2,"Y")</f>
        <v>64</v>
      </c>
    </row>
    <row r="20" spans="1:14" s="4" customFormat="1" ht="15.95" customHeight="1" x14ac:dyDescent="0.25">
      <c r="A20" s="39"/>
      <c r="B20" s="28" t="s">
        <v>14</v>
      </c>
      <c r="C20" s="35" t="s">
        <v>44</v>
      </c>
      <c r="D20" s="32" t="s">
        <v>15</v>
      </c>
      <c r="E20" s="69" t="s">
        <v>34</v>
      </c>
      <c r="F20" s="40">
        <v>33741</v>
      </c>
      <c r="G20" s="70" t="s">
        <v>63</v>
      </c>
      <c r="H20" s="36" t="s">
        <v>77</v>
      </c>
      <c r="I20" s="41">
        <v>33741</v>
      </c>
      <c r="J20" s="41">
        <v>49695</v>
      </c>
      <c r="K20" s="34" t="s">
        <v>89</v>
      </c>
      <c r="L20" s="4" t="s">
        <v>32</v>
      </c>
      <c r="N20" s="6">
        <f ca="1">DATEDIF(F20,$N$2,"Y")</f>
        <v>33</v>
      </c>
    </row>
    <row r="21" spans="1:14" s="4" customFormat="1" ht="15.95" customHeight="1" x14ac:dyDescent="0.25">
      <c r="A21" s="37"/>
      <c r="B21" s="28" t="s">
        <v>11</v>
      </c>
      <c r="C21" s="35" t="s">
        <v>45</v>
      </c>
      <c r="D21" s="32" t="s">
        <v>12</v>
      </c>
      <c r="E21" s="69" t="s">
        <v>77</v>
      </c>
      <c r="F21" s="40">
        <v>31316</v>
      </c>
      <c r="G21" s="70" t="s">
        <v>64</v>
      </c>
      <c r="H21" s="36" t="s">
        <v>77</v>
      </c>
      <c r="I21" s="41">
        <v>45104</v>
      </c>
      <c r="J21" s="41">
        <v>48757</v>
      </c>
      <c r="K21" s="34" t="s">
        <v>89</v>
      </c>
      <c r="L21" s="4" t="s">
        <v>32</v>
      </c>
      <c r="N21" s="6">
        <f ca="1">DATEDIF(F21,$N$2,"Y")</f>
        <v>40</v>
      </c>
    </row>
    <row r="22" spans="1:14" s="4" customFormat="1" ht="15.95" customHeight="1" x14ac:dyDescent="0.25">
      <c r="A22" s="37"/>
      <c r="B22" s="28" t="s">
        <v>14</v>
      </c>
      <c r="C22" s="35" t="s">
        <v>42</v>
      </c>
      <c r="D22" s="32" t="s">
        <v>15</v>
      </c>
      <c r="E22" s="69" t="s">
        <v>77</v>
      </c>
      <c r="F22" s="43">
        <v>33266</v>
      </c>
      <c r="G22" s="70" t="s">
        <v>61</v>
      </c>
      <c r="H22" s="36" t="s">
        <v>77</v>
      </c>
      <c r="I22" s="42">
        <v>45099</v>
      </c>
      <c r="J22" s="42">
        <v>48752</v>
      </c>
      <c r="K22" s="34" t="s">
        <v>89</v>
      </c>
      <c r="L22" s="4" t="s">
        <v>32</v>
      </c>
      <c r="N22" s="6">
        <f ca="1">DATEDIF(F22,$N$2,"Y")</f>
        <v>35</v>
      </c>
    </row>
    <row r="23" spans="1:14" s="4" customFormat="1" ht="15.95" customHeight="1" x14ac:dyDescent="0.25">
      <c r="A23" s="37"/>
      <c r="B23" s="28" t="s">
        <v>14</v>
      </c>
      <c r="C23" s="35" t="s">
        <v>47</v>
      </c>
      <c r="D23" s="32" t="s">
        <v>15</v>
      </c>
      <c r="E23" s="69" t="s">
        <v>81</v>
      </c>
      <c r="F23" s="40">
        <v>23243</v>
      </c>
      <c r="G23" s="70" t="s">
        <v>66</v>
      </c>
      <c r="H23" s="36" t="s">
        <v>77</v>
      </c>
      <c r="I23" s="41">
        <v>45099</v>
      </c>
      <c r="J23" s="41">
        <v>48752</v>
      </c>
      <c r="K23" s="34" t="s">
        <v>89</v>
      </c>
      <c r="L23" s="4" t="s">
        <v>32</v>
      </c>
      <c r="N23" s="6">
        <f ca="1">DATEDIF(F23,$N$2,"Y")</f>
        <v>62</v>
      </c>
    </row>
    <row r="24" spans="1:14" s="4" customFormat="1" ht="15.75" x14ac:dyDescent="0.25">
      <c r="A24" s="7"/>
      <c r="B24" s="7"/>
      <c r="C24" s="8"/>
      <c r="D24" s="9"/>
      <c r="E24" s="9"/>
      <c r="F24" s="29"/>
      <c r="G24" s="9"/>
      <c r="H24" s="10"/>
      <c r="I24" s="55" t="s">
        <v>17</v>
      </c>
      <c r="J24" s="55"/>
      <c r="K24" s="11"/>
    </row>
    <row r="25" spans="1:14" s="4" customFormat="1" ht="15.75" x14ac:dyDescent="0.25">
      <c r="D25" s="12"/>
      <c r="E25" s="12"/>
      <c r="F25" s="30"/>
      <c r="G25" s="12"/>
      <c r="H25" s="13"/>
      <c r="I25" s="56" t="s">
        <v>89</v>
      </c>
      <c r="J25" s="56"/>
      <c r="K25" s="14">
        <v>5</v>
      </c>
    </row>
    <row r="26" spans="1:14" s="4" customFormat="1" ht="15.75" x14ac:dyDescent="0.25">
      <c r="D26" s="12"/>
      <c r="E26" s="12"/>
      <c r="F26" s="30"/>
      <c r="G26" s="12"/>
      <c r="H26" s="13"/>
      <c r="I26" s="46" t="s">
        <v>13</v>
      </c>
      <c r="J26" s="46"/>
      <c r="K26" s="14">
        <v>15</v>
      </c>
    </row>
    <row r="27" spans="1:14" s="4" customFormat="1" ht="15.75" x14ac:dyDescent="0.25">
      <c r="D27" s="12"/>
      <c r="E27" s="12"/>
      <c r="F27" s="30"/>
      <c r="G27" s="12"/>
      <c r="H27" s="13"/>
      <c r="I27" s="47" t="s">
        <v>18</v>
      </c>
      <c r="J27" s="48"/>
      <c r="K27" s="11">
        <v>20</v>
      </c>
    </row>
    <row r="29" spans="1:14" s="15" customFormat="1" x14ac:dyDescent="0.25">
      <c r="A29" s="2"/>
      <c r="B29" s="2"/>
      <c r="C29" s="2"/>
      <c r="F29" s="31"/>
      <c r="I29" s="31"/>
      <c r="J29" s="31"/>
      <c r="K29" s="16"/>
      <c r="L29" s="2"/>
      <c r="M29" s="2"/>
    </row>
    <row r="30" spans="1:14" s="15" customFormat="1" x14ac:dyDescent="0.25">
      <c r="A30" s="2"/>
      <c r="B30" s="2"/>
      <c r="C30" s="2"/>
      <c r="F30" s="31"/>
      <c r="I30" s="31"/>
      <c r="J30" s="31"/>
      <c r="K30" s="16"/>
      <c r="L30" s="2"/>
      <c r="M30" s="2"/>
    </row>
    <row r="31" spans="1:14" s="15" customFormat="1" x14ac:dyDescent="0.25">
      <c r="A31" s="2"/>
      <c r="B31" s="2"/>
      <c r="C31" s="2"/>
      <c r="F31" s="31"/>
      <c r="I31" s="31"/>
      <c r="J31" s="31"/>
      <c r="K31" s="16"/>
      <c r="L31" s="2"/>
      <c r="M31" s="2"/>
    </row>
    <row r="32" spans="1:14" s="15" customFormat="1" x14ac:dyDescent="0.25">
      <c r="A32" s="2"/>
      <c r="B32" s="2"/>
      <c r="C32" s="2"/>
      <c r="F32" s="31"/>
      <c r="I32" s="31"/>
      <c r="J32" s="31"/>
      <c r="K32" s="16"/>
      <c r="L32" s="2"/>
      <c r="M32" s="2"/>
    </row>
    <row r="33" spans="1:13" s="15" customFormat="1" x14ac:dyDescent="0.25">
      <c r="A33" s="2"/>
      <c r="B33" s="2"/>
      <c r="C33" s="2"/>
      <c r="F33" s="31"/>
      <c r="I33" s="31"/>
      <c r="J33" s="31"/>
      <c r="K33" s="16"/>
      <c r="L33" s="2"/>
      <c r="M33" s="2"/>
    </row>
    <row r="34" spans="1:13" s="15" customFormat="1" x14ac:dyDescent="0.25">
      <c r="A34" s="2"/>
      <c r="B34" s="2"/>
      <c r="C34" s="2"/>
      <c r="F34" s="31"/>
      <c r="I34" s="31"/>
      <c r="J34" s="31"/>
      <c r="K34" s="16"/>
      <c r="L34" s="2"/>
      <c r="M34" s="2"/>
    </row>
    <row r="35" spans="1:13" s="15" customFormat="1" x14ac:dyDescent="0.25">
      <c r="A35" s="2"/>
      <c r="B35" s="2"/>
      <c r="C35" s="2"/>
      <c r="F35" s="31"/>
      <c r="I35" s="31"/>
      <c r="J35" s="31"/>
      <c r="K35" s="16"/>
      <c r="L35" s="2"/>
      <c r="M35" s="2"/>
    </row>
    <row r="36" spans="1:13" s="15" customFormat="1" x14ac:dyDescent="0.25">
      <c r="A36" s="2"/>
      <c r="B36" s="2"/>
      <c r="C36" s="2"/>
      <c r="F36" s="31"/>
      <c r="I36" s="31"/>
      <c r="J36" s="31"/>
      <c r="K36" s="16"/>
      <c r="L36" s="2"/>
      <c r="M36" s="2"/>
    </row>
    <row r="37" spans="1:13" s="15" customFormat="1" x14ac:dyDescent="0.25">
      <c r="A37" s="2"/>
      <c r="B37" s="2"/>
      <c r="C37" s="2"/>
      <c r="F37" s="31"/>
      <c r="I37" s="31"/>
      <c r="J37" s="31"/>
      <c r="K37" s="16"/>
      <c r="L37" s="2"/>
      <c r="M37" s="2"/>
    </row>
    <row r="38" spans="1:13" s="15" customFormat="1" x14ac:dyDescent="0.25">
      <c r="A38" s="2"/>
      <c r="B38" s="2"/>
      <c r="C38" s="2"/>
      <c r="F38" s="31"/>
      <c r="I38" s="31"/>
      <c r="J38" s="31"/>
      <c r="K38" s="16"/>
      <c r="L38" s="2"/>
      <c r="M38" s="2"/>
    </row>
    <row r="39" spans="1:13" s="15" customFormat="1" x14ac:dyDescent="0.25">
      <c r="A39" s="2"/>
      <c r="B39" s="2"/>
      <c r="C39" s="2"/>
      <c r="F39" s="31"/>
      <c r="I39" s="31"/>
      <c r="J39" s="31"/>
      <c r="K39" s="16"/>
      <c r="L39" s="2"/>
      <c r="M39" s="2"/>
    </row>
    <row r="40" spans="1:13" s="15" customFormat="1" x14ac:dyDescent="0.25">
      <c r="A40" s="2"/>
      <c r="B40" s="2"/>
      <c r="C40" s="2"/>
      <c r="D40" s="17"/>
      <c r="E40" s="18" t="s">
        <v>19</v>
      </c>
      <c r="F40" s="31"/>
      <c r="I40" s="31"/>
      <c r="J40" s="31"/>
      <c r="K40" s="16"/>
      <c r="L40" s="2"/>
      <c r="M40" s="2"/>
    </row>
    <row r="41" spans="1:13" s="15" customFormat="1" x14ac:dyDescent="0.25">
      <c r="A41" s="2"/>
      <c r="B41" s="2"/>
      <c r="C41" s="2"/>
      <c r="D41" s="19" t="s">
        <v>20</v>
      </c>
      <c r="E41" s="20" t="s">
        <v>21</v>
      </c>
      <c r="F41" s="31"/>
      <c r="I41" s="31"/>
      <c r="J41" s="31"/>
      <c r="K41" s="16"/>
      <c r="L41" s="2"/>
      <c r="M41" s="2"/>
    </row>
    <row r="42" spans="1:13" s="15" customFormat="1" x14ac:dyDescent="0.25">
      <c r="A42" s="2"/>
      <c r="B42" s="2"/>
      <c r="C42" s="2"/>
      <c r="D42" s="17"/>
      <c r="E42" s="21" t="s">
        <v>22</v>
      </c>
      <c r="F42" s="31"/>
      <c r="I42" s="31"/>
      <c r="J42" s="31"/>
      <c r="K42" s="16"/>
      <c r="L42" s="2"/>
      <c r="M42" s="2"/>
    </row>
    <row r="43" spans="1:13" s="15" customFormat="1" x14ac:dyDescent="0.25">
      <c r="A43" s="2"/>
      <c r="B43" s="2"/>
      <c r="C43" s="2"/>
      <c r="D43" s="17"/>
      <c r="E43" s="22" t="s">
        <v>23</v>
      </c>
      <c r="F43" s="31"/>
      <c r="I43" s="31"/>
      <c r="J43" s="31"/>
      <c r="K43" s="16"/>
      <c r="L43" s="2"/>
      <c r="M43" s="2"/>
    </row>
    <row r="44" spans="1:13" s="15" customFormat="1" x14ac:dyDescent="0.25">
      <c r="A44" s="2"/>
      <c r="B44" s="2"/>
      <c r="C44" s="2"/>
      <c r="D44" s="19" t="s">
        <v>24</v>
      </c>
      <c r="E44" s="20" t="s">
        <v>25</v>
      </c>
      <c r="F44" s="31"/>
      <c r="I44" s="31"/>
      <c r="J44" s="31"/>
      <c r="K44" s="16"/>
      <c r="L44" s="2"/>
      <c r="M44" s="2"/>
    </row>
    <row r="45" spans="1:13" s="16" customFormat="1" ht="45" x14ac:dyDescent="0.25">
      <c r="A45" s="2"/>
      <c r="B45" s="2"/>
      <c r="C45" s="2"/>
      <c r="D45" s="17"/>
      <c r="E45" s="23" t="s">
        <v>26</v>
      </c>
      <c r="F45" s="31"/>
      <c r="G45" s="15"/>
      <c r="H45" s="15"/>
      <c r="I45" s="31"/>
      <c r="J45" s="31"/>
      <c r="L45" s="2"/>
      <c r="M45" s="2"/>
    </row>
    <row r="46" spans="1:13" s="16" customFormat="1" x14ac:dyDescent="0.25">
      <c r="A46" s="2"/>
      <c r="B46" s="2"/>
      <c r="C46" s="2"/>
      <c r="D46" s="24"/>
      <c r="E46" s="22" t="s">
        <v>27</v>
      </c>
      <c r="F46" s="31"/>
      <c r="G46" s="15"/>
      <c r="H46" s="15"/>
      <c r="I46" s="31"/>
      <c r="J46" s="31"/>
      <c r="L46" s="2"/>
      <c r="M46" s="2"/>
    </row>
    <row r="47" spans="1:13" s="16" customFormat="1" x14ac:dyDescent="0.25">
      <c r="A47" s="2"/>
      <c r="B47" s="2"/>
      <c r="C47" s="2"/>
      <c r="D47" s="24" t="s">
        <v>28</v>
      </c>
      <c r="E47" s="20" t="s">
        <v>29</v>
      </c>
      <c r="F47" s="31"/>
      <c r="G47" s="15"/>
      <c r="H47" s="15"/>
      <c r="I47" s="31"/>
      <c r="J47" s="31"/>
      <c r="L47" s="2"/>
      <c r="M47" s="2"/>
    </row>
    <row r="48" spans="1:13" s="16" customFormat="1" ht="45" x14ac:dyDescent="0.25">
      <c r="A48" s="2"/>
      <c r="B48" s="2"/>
      <c r="C48" s="2"/>
      <c r="D48" s="17"/>
      <c r="E48" s="23" t="s">
        <v>30</v>
      </c>
      <c r="F48" s="31"/>
      <c r="G48" s="15"/>
      <c r="H48" s="15"/>
      <c r="I48" s="31"/>
      <c r="J48" s="31"/>
      <c r="L48" s="2"/>
      <c r="M48" s="2"/>
    </row>
    <row r="49" spans="1:13" s="16" customFormat="1" x14ac:dyDescent="0.25">
      <c r="A49" s="2"/>
      <c r="B49" s="2"/>
      <c r="C49" s="2"/>
      <c r="D49" s="17"/>
      <c r="E49" s="22" t="s">
        <v>31</v>
      </c>
      <c r="F49" s="31"/>
      <c r="G49" s="15"/>
      <c r="H49" s="15"/>
      <c r="I49" s="31"/>
      <c r="J49" s="31"/>
      <c r="L49" s="2"/>
      <c r="M49" s="2"/>
    </row>
  </sheetData>
  <sortState xmlns:xlrd2="http://schemas.microsoft.com/office/spreadsheetml/2017/richdata2" ref="A5:T23">
    <sortCondition ref="C4:C23"/>
  </sortState>
  <mergeCells count="17">
    <mergeCell ref="A1:K1"/>
    <mergeCell ref="A2:A3"/>
    <mergeCell ref="B2:C3"/>
    <mergeCell ref="D2:D3"/>
    <mergeCell ref="E2:E3"/>
    <mergeCell ref="F2:F3"/>
    <mergeCell ref="G2:G3"/>
    <mergeCell ref="H2:H3"/>
    <mergeCell ref="I2:I3"/>
    <mergeCell ref="J2:J3"/>
    <mergeCell ref="I27:J27"/>
    <mergeCell ref="K2:K3"/>
    <mergeCell ref="M2:M3"/>
    <mergeCell ref="N2:N3"/>
    <mergeCell ref="I24:J24"/>
    <mergeCell ref="I25:J25"/>
    <mergeCell ref="I26:J26"/>
  </mergeCells>
  <pageMargins left="0.39370078740157483" right="0.39370078740157483" top="0.74803149606299213" bottom="0.74803149606299213" header="0.31496062992125984" footer="0.31496062992125984"/>
  <pageSetup paperSize="9" scale="68" orientation="landscape" horizontalDpi="120" verticalDpi="72" r:id="rId1"/>
  <headerFooter>
    <oddFooter>&amp;L&amp;G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 Feb Garuda</vt:lpstr>
      <vt:lpstr>'25 Feb Garuda'!Print_Area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komputer</dc:creator>
  <cp:lastModifiedBy>Rofiq Tour PC</cp:lastModifiedBy>
  <dcterms:created xsi:type="dcterms:W3CDTF">2015-06-05T18:17:20Z</dcterms:created>
  <dcterms:modified xsi:type="dcterms:W3CDTF">2026-02-02T09:08:06Z</dcterms:modified>
</cp:coreProperties>
</file>